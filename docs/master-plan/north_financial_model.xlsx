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Tiers" sheetId="2" state="visible" r:id="rId4"/>
    <sheet name="Model_5yr" sheetId="3" state="visible" r:id="rId5"/>
    <sheet name="Scenarios" sheetId="4" state="visible" r:id="rId6"/>
    <sheet name="Customer_RO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<sst xmlns="http://schemas.openxmlformats.org/spreadsheetml/2006/main" count="235" uniqueCount="211">
  <si>
    <t xml:space="preserve">NORTH — MODEL ASSUMPTIONS  (BLUE = input, edit these; yellow = key levers)</t>
  </si>
  <si>
    <t xml:space="preserve">TIER PRICING &amp; PER-ORG COGS</t>
  </si>
  <si>
    <t xml:space="preserve">SOURCE / NOTE</t>
  </si>
  <si>
    <t xml:space="preserve">Handyman price ($/mo, 1 user)</t>
  </si>
  <si>
    <t xml:space="preserve">Pricing-architect ladder (research 2026-07). Under-$100 mandate. vs Jobber Core $39 + Joist/QBO $32-75; undercuts Jobber AI Receptionist add-on alone ($99/mo).</t>
  </si>
  <si>
    <t xml:space="preserve">Crew price ($/mo, 5 users incl.)</t>
  </si>
  <si>
    <t xml:space="preserve">vs Jobber Connect $119-169 + Workyard/ClockShark ~$67 + Gusto ~$67 = $250-420/mo stack.</t>
  </si>
  <si>
    <t xml:space="preserve">Shop price ($/mo, 10 users incl.)</t>
  </si>
  <si>
    <t xml:space="preserve">vs Jobber Grow $199-349 + NiceJob $75-125 + QBO = ~$570/mo mid stack; ServiceTitan $245-398/tech + $5-50K setup.</t>
  </si>
  <si>
    <t xml:space="preserve">North Complete price ($/mo, multi-org)</t>
  </si>
  <si>
    <t xml:space="preserve">Optional 4th rung; ~$199/additional org; sell on inbound only pre-100 orgs.</t>
  </si>
  <si>
    <t xml:space="preserve">Extra seat ($/user/mo)</t>
  </si>
  <si>
    <t xml:space="preserve">Flat tiers + cheap marginal seat; contractors hate per-tech metering (ServiceTitan complaint #1).</t>
  </si>
  <si>
    <t xml:space="preserve">Annual plan discount (months free)</t>
  </si>
  <si>
    <t xml:space="preserve">Cheapest churn reducer; offer from day one (research: unit economics).</t>
  </si>
  <si>
    <t xml:space="preserve">Handyman AI+infra COGS ($/org/mo)</t>
  </si>
  <si>
    <t xml:space="preserve">300 Nort actions Sonnet-routed ($0.02-0.04/action w/ prompt caching cn-v304) + 30 voice min + infra $3-5. Range $10-25; cap bounds worst case ~$25.</t>
  </si>
  <si>
    <t xml:space="preserve">Crew AI+infra COGS ($/org/mo)</t>
  </si>
  <si>
    <t xml:space="preserve">1,200 actions, Opus routing on money/estimating ($0.05-0.25/action). Range $30-60. Claude API 2026: Sonnet $3/$15, Opus $5/$25 per MTok.</t>
  </si>
  <si>
    <t xml:space="preserve">Shop AI+infra COGS ($/org/mo)</t>
  </si>
  <si>
    <t xml:space="preserve">3,000 actions + nightly debriefs/leak sweeps on Batch API (50% off). Range $70-130.</t>
  </si>
  <si>
    <t xml:space="preserve">North Complete AI+infra COGS ($/org/mo)</t>
  </si>
  <si>
    <t xml:space="preserve">Pooled: ~$60-120/org at Shop-level use x ~2.5 orgs.</t>
  </si>
  <si>
    <t xml:space="preserve">Payment processing (% of revenue)</t>
  </si>
  <si>
    <t xml:space="preserve">Stripe 2.9% + $0.30/charge + 0.7% Billing recurring = ~3.8-4.2% on monthly card billing.</t>
  </si>
  <si>
    <t xml:space="preserve">Steady-state monthly churn (LTV calc)</t>
  </si>
  <si>
    <t xml:space="preserve">SMB SaaS 3-7%/mo benchmarks; 2.5-3%/mo Y3+ with annual plans + payments attached (research).</t>
  </si>
  <si>
    <t xml:space="preserve">CAC — referral / QR engine ($)</t>
  </si>
  <si>
    <t xml:space="preserve">Fully loaded $150-225: 1 free month + $100 cash on referee 3rd paid month. Dominant channel thru Y2.</t>
  </si>
  <si>
    <t xml:space="preserve">CAC — local word-of-mouth ($)</t>
  </si>
  <si>
    <t xml:space="preserve">Erik's network, supply-house counters, CATT; near-$0 cash, demos/swag.</t>
  </si>
  <si>
    <t xml:space="preserve">CAC — content/organic ($)</t>
  </si>
  <si>
    <t xml:space="preserve">$200-300 benchmark, 6-12 mo lag (calculators/NEC tools as lead magnets).</t>
  </si>
  <si>
    <t xml:space="preserve">CAC — paid ads ($)</t>
  </si>
  <si>
    <t xml:space="preserve">$350-700; Jobber/HCP bid the keywords hard. Rule: no paid scale until churn &lt;4%/mo.</t>
  </si>
  <si>
    <t xml:space="preserve">Support ratio (customers per support FTE)</t>
  </si>
  <si>
    <t xml:space="preserve">SaaStr benchmark 1 rep per 250-500 customers; Nort tier-1 deflection helps.</t>
  </si>
  <si>
    <t xml:space="preserve">Support hire trigger (EOY customers)</t>
  </si>
  <si>
    <t xml:space="preserve">First part-time support/onboarding hire at ~200-300 customers (research milestones).</t>
  </si>
  <si>
    <t xml:space="preserve">Support salary (loaded, $/yr)</t>
  </si>
  <si>
    <t xml:space="preserve">$50-65K/yr research; loaded.</t>
  </si>
  <si>
    <t xml:space="preserve">Engineer salary (loaded, $/yr)</t>
  </si>
  <si>
    <t xml:space="preserve">Hire #1 at ~$400-600K ARR or bug-turnaround &gt;1 week.</t>
  </si>
  <si>
    <t xml:space="preserve">Growth/CS salary (loaded, $/yr)</t>
  </si>
  <si>
    <t xml:space="preserve">Hire at ~1,000 customers. NO outbound salespeople at this ACV (CAC ~$2K never pays back).</t>
  </si>
  <si>
    <t xml:space="preserve">Pen test ($/yr)</t>
  </si>
  <si>
    <t xml:space="preserve">Grey-box web-app + tenant-isolation + AI-abuse scope: $5-15K. Before first stranger pays.</t>
  </si>
  <si>
    <t xml:space="preserve">Other G&amp;A (% of revenue)</t>
  </si>
  <si>
    <t xml:space="preserve">Legal, accounting, status page, helpdesk tooling, misc.</t>
  </si>
  <si>
    <t xml:space="preserve">Erik hourly value ($/hr)</t>
  </si>
  <si>
    <t xml:space="preserve">Erik's billable electrician rate — opportunity cost of every North hour.</t>
  </si>
  <si>
    <t xml:space="preserve">BY-YEAR INPUTS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</si>
  <si>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</si>
  <si>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</si>
  <si>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</si>
  <si>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</si>
  <si>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</si>
  <si>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Monthly churn %</t>
  </si>
  <si>
    <t xml:space="preserve">Model: 5%/mo Y1 (unproven onboarding) -&gt; 3.5% -&gt; 2.5-3% with annual plans (research churn benchmarks). If churn runs 6%/mo, national numbers roughly halve.</t>
  </si>
  <si>
    <t xml:space="preserve">Blended CAC ($/gross add)</t>
  </si>
  <si>
    <t xml:space="preserve">Y1 mostly Erik network; Y2+ referral-dominant; drifts up as organic/paid mix in. Referral $150-225, paid $350-700.</t>
  </si>
  <si>
    <t xml:space="preserve">Tools / insurance / legal ($/yr)</t>
  </si>
  <si>
    <t xml:space="preserve">E&amp;O+cyber $2-6K/yr, ToS/privacy $2-5K, trademark $1.5-3K, helpdesk/status page; scales with headcount.</t>
  </si>
  <si>
    <t xml:space="preserve">SOC 2 ($/yr)</t>
  </si>
  <si>
    <t xml:space="preserve">Trigger ~$500K-1M ARR = Y3. First-year all-in $30-65K (platform $10-15K + audit $15-50K); renewals +15-25% creep.</t>
  </si>
  <si>
    <t xml:space="preserve">Engineers (FTE)</t>
  </si>
  <si>
    <t xml:space="preserve">Hire #1 at ~$400-600K ARR (Y3); Y4 base team 6-10 people total (research adoption model).</t>
  </si>
  <si>
    <t xml:space="preserve">Growth/CS (FTE)</t>
  </si>
  <si>
    <t xml:space="preserve">At ~1,000 customers.</t>
  </si>
  <si>
    <t xml:space="preserve">Founder draw ($/yr)</t>
  </si>
  <si>
    <t xml:space="preserve">Y1-2 = $0 (ET Electric funds Erik); draws begin when North is the majority job.</t>
  </si>
  <si>
    <t xml:space="preserve">Erik hours/week on North</t>
  </si>
  <si>
    <t xml:space="preserve">Y1 10-20 hrs/wk on top of ET Electric (research); Y3+ assumes the month-9-12 go decision was YES.</t>
  </si>
  <si>
    <t xml:space="preserve">ADOPTION — PAYING ORGS AT YEAR END (base case)</t>
  </si>
  <si>
    <t xml:space="preserve">Handyman orgs</t>
  </si>
  <si>
    <t xml:space="preserve">Mix shifts handyman-heavy at national scale (research: blended ARPU drifts down as handyman mix grows).</t>
  </si>
  <si>
    <t xml:space="preserve">Crew orgs</t>
  </si>
  <si>
    <t xml:space="preserve">Y1 skews Crew/Shop: local adopters are the licensed referral network Erik knows.</t>
  </si>
  <si>
    <t xml:space="preserve">Shop orgs</t>
  </si>
  <si>
    <t xml:space="preserve">Licensed, draw-billing C-10-class shops.</t>
  </si>
  <si>
    <t xml:space="preserve">North Complete orgs</t>
  </si>
  <si>
    <t xml:space="preserve">Inbound only.</t>
  </si>
  <si>
    <t xml:space="preserve">Total orgs (EOY)</t>
  </si>
  <si>
    <t xml:space="preserve">Research bases: Y1 25-60 (exit ARR $35-85K); Y2 base 250; Y3 1,000-2,500; Y4 2,500-5,000; Y5 5,000-10,000 bootstrapped.</t>
  </si>
  <si>
    <t xml:space="preserve">PER-TIER UNIT ECONOMICS  (all formulas off Assumptions)</t>
  </si>
  <si>
    <t xml:space="preserve">Handyman</t>
  </si>
  <si>
    <t xml:space="preserve">Crew</t>
  </si>
  <si>
    <t xml:space="preserve">Shop</t>
  </si>
  <si>
    <t xml:space="preserve">North Complete</t>
  </si>
  <si>
    <t xml:space="preserve">NOTE</t>
  </si>
  <si>
    <t xml:space="preserve">Price ($/mo)</t>
  </si>
  <si>
    <t xml:space="preserve">Flat, seats included (1/5/10), +$15/extra seat.</t>
  </si>
  <si>
    <t xml:space="preserve">AI + infra COGS ($/mo)</t>
  </si>
  <si>
    <t xml:space="preserve">Nort actions + voice + Supabase/Vercel marginal.</t>
  </si>
  <si>
    <t xml:space="preserve">Payment fees ($/mo)</t>
  </si>
  <si>
    <t xml:space="preserve">~4% of revenue (Stripe + Billing).</t>
  </si>
  <si>
    <t xml:space="preserve">Total COGS ($/mo)</t>
  </si>
  <si>
    <t xml:space="preserve">Gross margin ($/mo)</t>
  </si>
  <si>
    <t xml:space="preserve">Gross margin (%)</t>
  </si>
  <si>
    <t xml:space="preserve">Incl. payment fees. Excl. fees, research expects ~80% / ~70-72% / ~65% / 60-70%. AI-native SaaS runs 55-70% today; do not promise 80%.</t>
  </si>
  <si>
    <t xml:space="preserve">Avg customer lifetime (months)</t>
  </si>
  <si>
    <t xml:space="preserve">1 / steady-state monthly churn (3%/mo -&gt; ~33 months).</t>
  </si>
  <si>
    <t xml:space="preserve">LTV — lifetime gross margin ($)</t>
  </si>
  <si>
    <t xml:space="preserve">CAC — referral channel ($)</t>
  </si>
  <si>
    <t xml:space="preserve">The priced channel (QR engine, built).</t>
  </si>
  <si>
    <t xml:space="preserve">CAC payback (months)</t>
  </si>
  <si>
    <t xml:space="preserve">Referral payback 2-3 months per research; paid-ads payback 8-9 months.</t>
  </si>
  <si>
    <t xml:space="preserve">LTV : CAC</t>
  </si>
  <si>
    <t xml:space="preserve">Healthy floor is 3x; referral is exceptional — productize the QR engine before buying ads.</t>
  </si>
  <si>
    <t xml:space="preserve">5-YEAR BASE CASE — BOOTSTRAPPED  (all formulas; inputs live on Assumptions)</t>
  </si>
  <si>
    <t xml:space="preserve">CUSTOMERS (end of year)</t>
  </si>
  <si>
    <t xml:space="preserve">Base: 35 / 250 / 1,200 / 3,000 / 6,000.</t>
  </si>
  <si>
    <t xml:space="preserve">Average orgs in year</t>
  </si>
  <si>
    <t xml:space="preserve">Start-of-Y1 = 0 paying strangers (Erik + Tahoe Deck are internal).</t>
  </si>
  <si>
    <t xml:space="preserve">REVENUE</t>
  </si>
  <si>
    <t xml:space="preserve">Exit MRR ($/mo)</t>
  </si>
  <si>
    <t xml:space="preserve">Exit ARR (run-rate)</t>
  </si>
  <si>
    <t xml:space="preserve">Research bands: Y1 $35-85K; Y2 $200-540K; Y4 $3.2-6.3M; Y5 $6-12M bootstrapped.</t>
  </si>
  <si>
    <t xml:space="preserve">Blended ARPU (EOY, $/mo)</t>
  </si>
  <si>
    <t xml:space="preserve">Higher than the research $105-115 anchor because the architect ladder prices higher; mix-shift pulls it down over time.</t>
  </si>
  <si>
    <t xml:space="preserve">Recognized revenue ($/yr)</t>
  </si>
  <si>
    <t xml:space="preserve">Average of opening and closing MRR x 12.</t>
  </si>
  <si>
    <t xml:space="preserve">COGS</t>
  </si>
  <si>
    <t xml:space="preserve">AI + infra COGS</t>
  </si>
  <si>
    <t xml:space="preserve">Avg orgs per tier x per-tier COGS x 12. AI is the dominant COGS line.</t>
  </si>
  <si>
    <t xml:space="preserve">Payment processing fees</t>
  </si>
  <si>
    <t xml:space="preserve">Total COGS</t>
  </si>
  <si>
    <t xml:space="preserve">Gross profit</t>
  </si>
  <si>
    <t xml:space="preserve">Gross margin %</t>
  </si>
  <si>
    <t xml:space="preserve">Target 65-72% Y1-2 improving to 75%+ (research); classic SaaS 75-80%, AI-native 55-70%.</t>
  </si>
  <si>
    <t xml:space="preserve">OPEX</t>
  </si>
  <si>
    <t xml:space="preserve">Support FTE</t>
  </si>
  <si>
    <t xml:space="preserve">Formula: 0 until the 200-customer trigger, then avg orgs / 350 (SaaStr 1:250-500).</t>
  </si>
  <si>
    <t xml:space="preserve">Support cost</t>
  </si>
  <si>
    <t xml:space="preserve">Engineering cost</t>
  </si>
  <si>
    <t xml:space="preserve">Growth/CS cost</t>
  </si>
  <si>
    <t xml:space="preserve">Founder draw</t>
  </si>
  <si>
    <t xml:space="preserve">Tools / insurance / legal</t>
  </si>
  <si>
    <t xml:space="preserve">Pen test</t>
  </si>
  <si>
    <t xml:space="preserve">SOC 2</t>
  </si>
  <si>
    <t xml:space="preserve">Lands Y3 (~$500K-1M ARR trigger).</t>
  </si>
  <si>
    <t xml:space="preserve">Churned orgs (during year)</t>
  </si>
  <si>
    <t xml:space="preserve">Gross new orgs added</t>
  </si>
  <si>
    <t xml:space="preserve">S&amp;M / CAC spend</t>
  </si>
  <si>
    <t xml:space="preserve">Gross adds x blended CAC. Referral engine is the dominant channel through Y2.</t>
  </si>
  <si>
    <t xml:space="preserve">Other G&amp;A</t>
  </si>
  <si>
    <t xml:space="preserve">Total opex</t>
  </si>
  <si>
    <t xml:space="preserve">OPERATING PROFIT</t>
  </si>
  <si>
    <t xml:space="preserve">Research bands: Y1 ~breakeven to +$30K; Y2 -$20K to +$80K; Y3-4 margin -10% to +15%; Y5 10-25%.</t>
  </si>
  <si>
    <t xml:space="preserve">Operating margin %</t>
  </si>
  <si>
    <t xml:space="preserve">Team size (incl. Erik)</t>
  </si>
  <si>
    <t xml:space="preserve">Research Y5 base: 12-20 staff.</t>
  </si>
  <si>
    <t xml:space="preserve">Erik hours/week</t>
  </si>
  <si>
    <t xml:space="preserve">THE governing decision. 5-10 hrs/wk = ~10-org side business; 15-20 = regional sweet spot; 40+ only after ~$20K MRR at &lt;3% churn.</t>
  </si>
  <si>
    <t xml:space="preserve">YEAR-5 SCENARIOS  (levers in blue/yellow; everything else recomputes)</t>
  </si>
  <si>
    <t xml:space="preserve">Conservative</t>
  </si>
  <si>
    <t xml:space="preserve">Base</t>
  </si>
  <si>
    <t xml:space="preserve">Aggressive</t>
  </si>
  <si>
    <t xml:space="preserve">Customer multiplier (x base Y5 orgs)</t>
  </si>
  <si>
    <t xml:space="preserve">Conservative ~ churn runs 5-6%/mo / referral stalls: research says national numbers roughly halve.</t>
  </si>
  <si>
    <t xml:space="preserve">ARPU multiplier</t>
  </si>
  <si>
    <t xml:space="preserve">Price pressure down (Jobber ships comparable AI) vs annual-mix up.</t>
  </si>
  <si>
    <t xml:space="preserve">Gross-margin delta (pts)</t>
  </si>
  <si>
    <t xml:space="preserve">AI COGS blowout vs model-price declines + better caching (treat declines as upside, not plan).</t>
  </si>
  <si>
    <t xml:space="preserve">Fixed share of opex (all scenarios)</t>
  </si>
  <si>
    <t xml:space="preserve">Share of Y5 base opex that does not scale with customer count.</t>
  </si>
  <si>
    <t xml:space="preserve">Y5 customers (EOY)</t>
  </si>
  <si>
    <t xml:space="preserve">Y5 exit ARR</t>
  </si>
  <si>
    <t xml:space="preserve">Y5 recognized revenue</t>
  </si>
  <si>
    <t xml:space="preserve">Y5 gross margin %</t>
  </si>
  <si>
    <t xml:space="preserve">Y5 gross profit</t>
  </si>
  <si>
    <t xml:space="preserve">Y5 opex</t>
  </si>
  <si>
    <t xml:space="preserve">Y5 OPERATING PROFIT</t>
  </si>
  <si>
    <t xml:space="preserve">Y5 operating margin %</t>
  </si>
  <si>
    <t xml:space="preserve">Funded variant (not modeled here): $3-6M raise at Y3 with paid-CAC payback proven &lt;12 mo -&gt; 8,000-15,000 customers, $10-19M ARR by Y4, burning $150-400K/mo, ~25-35% cumulative dilution (research adoption model).</t>
  </si>
  <si>
    <t xml:space="preserve">PER-SHOP ROI — solo licensed trade, base case  (blue = sourced assumptions)</t>
  </si>
  <si>
    <t xml:space="preserve">INPUTS</t>
  </si>
  <si>
    <t xml:space="preserve">SOURCE</t>
  </si>
  <si>
    <t xml:space="preserve">Shop annual revenue ($)</t>
  </si>
  <si>
    <t xml:space="preserve">Research ROI-stack reference case: solo licensed electrician, $300K/yr.</t>
  </si>
  <si>
    <t xml:space="preserve">Billable rate ($/hr)</t>
  </si>
  <si>
    <t xml:space="preserve">$100-150/hr solo licensed trade.</t>
  </si>
  <si>
    <t xml:space="preserve">Admin hours saved per week</t>
  </si>
  <si>
    <t xml:space="preserve">UK trades ~7 hrs/wk paperwork (Powered Now); Tradify survey ~6 hrs/wk saved; modeled conservatively at 3-6 -&gt; 4.5.</t>
  </si>
  <si>
    <t xml:space="preserve">Share of saved hours converted to billable</t>
  </si>
  <si>
    <t xml:space="preserve">Honest split: 1/3 becomes billed work, 2/3 becomes evenings back (real value, not revenue).</t>
  </si>
  <si>
    <t xml:space="preserve">Working weeks per year</t>
  </si>
  <si>
    <t xml:space="preserve">Leak recovery (% of revenue)</t>
  </si>
  <si>
    <t xml:space="preserve">Firms bill only ~90-95% of delivered hours (SPI); leakage 1-5% of revenue benchmarks; modeled 1-3% -&gt; 2%.</t>
  </si>
  <si>
    <t xml:space="preserve">DSO days accelerated</t>
  </si>
  <si>
    <t xml:space="preserve">82% of contractors wait &gt;30 days (Rabbet); online-pay invoices paid up to 4x faster (QuickBooks).</t>
  </si>
  <si>
    <t xml:space="preserve">Cost of money (%/yr)</t>
  </si>
  <si>
    <t xml:space="preserve">Contractor credit-line rate.</t>
  </si>
  <si>
    <t xml:space="preserve">VALUE RECOVERED ($/yr)</t>
  </si>
  <si>
    <t xml:space="preserve">Billable hours recovered per year</t>
  </si>
  <si>
    <t xml:space="preserve">Value of billable hours</t>
  </si>
  <si>
    <t xml:space="preserve">~$5-14K/yr band in research.</t>
  </si>
  <si>
    <t xml:space="preserve">Evenings-back hours (unpriced)</t>
  </si>
  <si>
    <t xml:space="preserve">~150-250 hrs/yr of life returned — never shows in GDP; arguably the point.</t>
  </si>
  <si>
    <t xml:space="preserve">Leak recovery</t>
  </si>
  <si>
    <t xml:space="preserve">$3-9K/yr band.</t>
  </si>
  <si>
    <t xml:space="preserve">Cash-flow / DSO value</t>
  </si>
  <si>
    <t xml:space="preserve">$1-4K/yr band.</t>
  </si>
  <si>
    <t xml:space="preserve">TOTAL recovered per year</t>
  </si>
  <si>
    <t xml:space="preserve">Research total: $9-27K/yr.</t>
  </si>
  <si>
    <t xml:space="preserve">ROI VS TIER COST</t>
  </si>
  <si>
    <t xml:space="preserve">Annual tier cost</t>
  </si>
  <si>
    <t xml:space="preserve">Research: ROI 3-12x, payback 1-3 months of value. A $300K shop belongs on Crew/Shop — quote the Crew multiple, not Handyman.</t>
  </si>
  <si>
    <t xml:space="preserve">ROI multiple (value / cost)</t>
  </si>
  <si>
    <t xml:space="preserve">Payback (months of value)</t>
  </si>
  <si>
    <t xml:space="preserve">NOT PRICED IN: estimating time saved 2-5 hrs/wk (detailed estimate = 1-2 hrs; outsourced estimates $150-1,000 each); faster-quote win-rate (industry lore, unsourced); GPS timeclock payroll savings 2-5% of gross payroll (vendor-sourced, soft). HONESTY FLAGS: savings figures come substantially from vendor surveys (Tradify, QuickBooks) with selection bias; hour-to-dollar conversion depends entirely on backlog — full backlog converts at ~100%, no demand converts at ~0% and just returns evenings.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</si>
</sst>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"/>
    <numFmt numFmtId="166" formatCode="#,##0;\(#,##0\)"/>
    <numFmt numFmtId="167" formatCode="0.0%"/>
    <numFmt numFmtId="168" formatCode="#,##0.0;\(#,##0.0\)"/>
    <numFmt numFmtId="169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3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G3" s="2" t="s">
        <v>2</v>
      </c>
    </row>
    <row r="4" customFormat="false" ht="22.35" hidden="false" customHeight="false" outlineLevel="0" collapsed="false">
      <c r="A4" s="3" t="s">
        <v>3</v>
      </c>
      <c r="B4" s="4" t="n">
        <v>79</v>
      </c>
      <c r="G4" s="5" t="s">
        <v>4</v>
      </c>
    </row>
    <row r="5" customFormat="false" ht="22.35" hidden="false" customHeight="false" outlineLevel="0" collapsed="false">
      <c r="A5" s="3" t="s">
        <v>5</v>
      </c>
      <c r="B5" s="4" t="n">
        <v>169</v>
      </c>
      <c r="G5" s="5" t="s">
        <v>6</v>
      </c>
    </row>
    <row r="6" customFormat="false" ht="22.35" hidden="false" customHeight="false" outlineLevel="0" collapsed="false">
      <c r="A6" s="3" t="s">
        <v>7</v>
      </c>
      <c r="B6" s="4" t="n">
        <v>299</v>
      </c>
      <c r="G6" s="5" t="s">
        <v>8</v>
      </c>
    </row>
    <row r="7" customFormat="false" ht="15" hidden="false" customHeight="false" outlineLevel="0" collapsed="false">
      <c r="A7" s="3" t="s">
        <v>9</v>
      </c>
      <c r="B7" s="6" t="n">
        <v>499</v>
      </c>
      <c r="G7" s="5" t="s">
        <v>10</v>
      </c>
    </row>
    <row r="8" customFormat="false" ht="22.35" hidden="false" customHeight="false" outlineLevel="0" collapsed="false">
      <c r="A8" s="3" t="s">
        <v>11</v>
      </c>
      <c r="B8" s="6" t="n">
        <v>15</v>
      </c>
      <c r="G8" s="5" t="s">
        <v>12</v>
      </c>
    </row>
    <row r="9" customFormat="false" ht="15" hidden="false" customHeight="false" outlineLevel="0" collapsed="false">
      <c r="A9" s="3" t="s">
        <v>13</v>
      </c>
      <c r="B9" s="7" t="n">
        <v>2</v>
      </c>
      <c r="G9" s="5" t="s">
        <v>14</v>
      </c>
    </row>
    <row r="10" customFormat="false" ht="22.35" hidden="false" customHeight="false" outlineLevel="0" collapsed="false">
      <c r="A10" s="3" t="s">
        <v>15</v>
      </c>
      <c r="B10" s="4" t="n">
        <v>16</v>
      </c>
      <c r="G10" s="5" t="s">
        <v>16</v>
      </c>
    </row>
    <row r="11" customFormat="false" ht="22.35" hidden="false" customHeight="false" outlineLevel="0" collapsed="false">
      <c r="A11" s="3" t="s">
        <v>17</v>
      </c>
      <c r="B11" s="4" t="n">
        <v>45</v>
      </c>
      <c r="G11" s="5" t="s">
        <v>18</v>
      </c>
    </row>
    <row r="12" customFormat="false" ht="15" hidden="false" customHeight="false" outlineLevel="0" collapsed="false">
      <c r="A12" s="3" t="s">
        <v>19</v>
      </c>
      <c r="B12" s="4" t="n">
        <v>100</v>
      </c>
      <c r="G12" s="5" t="s">
        <v>20</v>
      </c>
    </row>
    <row r="13" customFormat="false" ht="15" hidden="false" customHeight="false" outlineLevel="0" collapsed="false">
      <c r="A13" s="3" t="s">
        <v>21</v>
      </c>
      <c r="B13" s="6" t="n">
        <v>180</v>
      </c>
      <c r="G13" s="5" t="s">
        <v>22</v>
      </c>
    </row>
    <row r="14" customFormat="false" ht="15" hidden="false" customHeight="false" outlineLevel="0" collapsed="false">
      <c r="A14" s="3" t="s">
        <v>23</v>
      </c>
      <c r="B14" s="8" t="n">
        <v>0.04</v>
      </c>
      <c r="G14" s="5" t="s">
        <v>24</v>
      </c>
    </row>
    <row r="15" customFormat="false" ht="22.35" hidden="false" customHeight="false" outlineLevel="0" collapsed="false">
      <c r="A15" s="3" t="s">
        <v>25</v>
      </c>
      <c r="B15" s="8" t="n">
        <v>0.03</v>
      </c>
      <c r="G15" s="5" t="s">
        <v>26</v>
      </c>
    </row>
    <row r="16" customFormat="false" ht="22.35" hidden="false" customHeight="false" outlineLevel="0" collapsed="false">
      <c r="A16" s="3" t="s">
        <v>27</v>
      </c>
      <c r="B16" s="6" t="n">
        <v>185</v>
      </c>
      <c r="G16" s="5" t="s">
        <v>28</v>
      </c>
    </row>
    <row r="17" customFormat="false" ht="15" hidden="false" customHeight="false" outlineLevel="0" collapsed="false">
      <c r="A17" s="3" t="s">
        <v>29</v>
      </c>
      <c r="B17" s="6" t="n">
        <v>50</v>
      </c>
      <c r="G17" s="5" t="s">
        <v>30</v>
      </c>
    </row>
    <row r="18" customFormat="false" ht="15" hidden="false" customHeight="false" outlineLevel="0" collapsed="false">
      <c r="A18" s="3" t="s">
        <v>31</v>
      </c>
      <c r="B18" s="6" t="n">
        <v>250</v>
      </c>
      <c r="G18" s="5" t="s">
        <v>32</v>
      </c>
    </row>
    <row r="19" customFormat="false" ht="15" hidden="false" customHeight="false" outlineLevel="0" collapsed="false">
      <c r="A19" s="3" t="s">
        <v>33</v>
      </c>
      <c r="B19" s="6" t="n">
        <v>525</v>
      </c>
      <c r="G19" s="5" t="s">
        <v>34</v>
      </c>
    </row>
    <row r="20" customFormat="false" ht="15" hidden="false" customHeight="false" outlineLevel="0" collapsed="false">
      <c r="A20" s="3" t="s">
        <v>35</v>
      </c>
      <c r="B20" s="7" t="n">
        <v>350</v>
      </c>
      <c r="G20" s="5" t="s">
        <v>36</v>
      </c>
    </row>
    <row r="21" customFormat="false" ht="15" hidden="false" customHeight="false" outlineLevel="0" collapsed="false">
      <c r="A21" s="3" t="s">
        <v>37</v>
      </c>
      <c r="B21" s="7" t="n">
        <v>200</v>
      </c>
      <c r="G21" s="5" t="s">
        <v>38</v>
      </c>
    </row>
    <row r="22" customFormat="false" ht="15" hidden="false" customHeight="false" outlineLevel="0" collapsed="false">
      <c r="A22" s="3" t="s">
        <v>39</v>
      </c>
      <c r="B22" s="6" t="n">
        <v>65000</v>
      </c>
      <c r="G22" s="5" t="s">
        <v>40</v>
      </c>
    </row>
    <row r="23" customFormat="false" ht="15" hidden="false" customHeight="false" outlineLevel="0" collapsed="false">
      <c r="A23" s="3" t="s">
        <v>41</v>
      </c>
      <c r="B23" s="6" t="n">
        <v>140000</v>
      </c>
      <c r="G23" s="5" t="s">
        <v>42</v>
      </c>
    </row>
    <row r="24" customFormat="false" ht="22.35" hidden="false" customHeight="false" outlineLevel="0" collapsed="false">
      <c r="A24" s="3" t="s">
        <v>43</v>
      </c>
      <c r="B24" s="6" t="n">
        <v>100000</v>
      </c>
      <c r="G24" s="5" t="s">
        <v>44</v>
      </c>
    </row>
    <row r="25" customFormat="false" ht="15" hidden="false" customHeight="false" outlineLevel="0" collapsed="false">
      <c r="A25" s="3" t="s">
        <v>45</v>
      </c>
      <c r="B25" s="6" t="n">
        <v>10000</v>
      </c>
      <c r="G25" s="5" t="s">
        <v>46</v>
      </c>
    </row>
    <row r="26" customFormat="false" ht="15" hidden="false" customHeight="false" outlineLevel="0" collapsed="false">
      <c r="A26" s="3" t="s">
        <v>47</v>
      </c>
      <c r="B26" s="8" t="n">
        <v>0.05</v>
      </c>
      <c r="G26" s="5" t="s">
        <v>48</v>
      </c>
    </row>
    <row r="27" customFormat="false" ht="15" hidden="false" customHeight="false" outlineLevel="0" collapsed="false">
      <c r="A27" s="3" t="s">
        <v>49</v>
      </c>
      <c r="B27" s="6" t="n">
        <v>150</v>
      </c>
      <c r="G27" s="5" t="s">
        <v>50</v>
      </c>
    </row>
    <row r="30" customFormat="false" ht="15" hidden="false" customHeight="false" outlineLevel="0" collapsed="false">
      <c r="A30" s="2" t="s">
        <v>51</v>
      </c>
      <c r="B30" s="2" t="s">
        <v>52</v>
      </c>
      <c r="C30" s="2" t="s">
        <v>53</v>
      </c>
      <c r="D30" s="2" t="s">
        <v>54</v>
      </c>
      <c r="E30" s="2" t="s">
        <v>55</v>
      </c>
      <c r="F30" s="2" t="s">
        <v>56</v>
      </c>
      <c r="G30" s="2" t="s">
        <v>2</v>
      </c>
    </row>
    <row r="31" customFormat="false" ht="22.35" hidden="false" customHeight="false" outlineLevel="0" collapsed="false">
      <c r="A31" s="3" t="s">
        <v>57</v>
      </c>
      <c r="B31" s="9" t="n">
        <v>0.05</v>
      </c>
      <c r="C31" s="9" t="n">
        <v>0.04</v>
      </c>
      <c r="D31" s="9" t="n">
        <v>0.035</v>
      </c>
      <c r="E31" s="9" t="n">
        <v>0.03</v>
      </c>
      <c r="F31" s="9" t="n">
        <v>0.0275</v>
      </c>
      <c r="G31" s="5" t="s">
        <v>58</v>
      </c>
    </row>
    <row r="32" customFormat="false" ht="22.35" hidden="false" customHeight="false" outlineLevel="0" collapsed="false">
      <c r="A32" s="3" t="s">
        <v>59</v>
      </c>
      <c r="B32" s="6" t="n">
        <v>75</v>
      </c>
      <c r="C32" s="6" t="n">
        <v>175</v>
      </c>
      <c r="D32" s="6" t="n">
        <v>200</v>
      </c>
      <c r="E32" s="6" t="n">
        <v>250</v>
      </c>
      <c r="F32" s="6" t="n">
        <v>275</v>
      </c>
      <c r="G32" s="5" t="s">
        <v>60</v>
      </c>
    </row>
    <row r="33" customFormat="false" ht="22.35" hidden="false" customHeight="false" outlineLevel="0" collapsed="false">
      <c r="A33" s="3" t="s">
        <v>61</v>
      </c>
      <c r="B33" s="6" t="n">
        <v>8000</v>
      </c>
      <c r="C33" s="6" t="n">
        <v>14000</v>
      </c>
      <c r="D33" s="6" t="n">
        <v>30000</v>
      </c>
      <c r="E33" s="6" t="n">
        <v>60000</v>
      </c>
      <c r="F33" s="6" t="n">
        <v>90000</v>
      </c>
      <c r="G33" s="5" t="s">
        <v>62</v>
      </c>
    </row>
    <row r="34" customFormat="false" ht="22.35" hidden="false" customHeight="false" outlineLevel="0" collapsed="false">
      <c r="A34" s="3" t="s">
        <v>63</v>
      </c>
      <c r="B34" s="6" t="n">
        <v>0</v>
      </c>
      <c r="C34" s="6" t="n">
        <v>0</v>
      </c>
      <c r="D34" s="6" t="n">
        <v>45000</v>
      </c>
      <c r="E34" s="6" t="n">
        <v>32000</v>
      </c>
      <c r="F34" s="6" t="n">
        <v>32000</v>
      </c>
      <c r="G34" s="5" t="s">
        <v>64</v>
      </c>
    </row>
    <row r="35" customFormat="false" ht="15" hidden="false" customHeight="false" outlineLevel="0" collapsed="false">
      <c r="A35" s="3" t="s">
        <v>65</v>
      </c>
      <c r="B35" s="7" t="n">
        <v>0</v>
      </c>
      <c r="C35" s="7" t="n">
        <v>0</v>
      </c>
      <c r="D35" s="7" t="n">
        <v>1</v>
      </c>
      <c r="E35" s="7" t="n">
        <v>3</v>
      </c>
      <c r="F35" s="7" t="n">
        <v>4</v>
      </c>
      <c r="G35" s="5" t="s">
        <v>66</v>
      </c>
    </row>
    <row r="36" customFormat="false" ht="15" hidden="false" customHeight="false" outlineLevel="0" collapsed="false">
      <c r="A36" s="3" t="s">
        <v>67</v>
      </c>
      <c r="B36" s="7" t="n">
        <v>0</v>
      </c>
      <c r="C36" s="7" t="n">
        <v>0</v>
      </c>
      <c r="D36" s="7" t="n">
        <v>0</v>
      </c>
      <c r="E36" s="7" t="n">
        <v>1</v>
      </c>
      <c r="F36" s="7" t="n">
        <v>1</v>
      </c>
      <c r="G36" s="5" t="s">
        <v>68</v>
      </c>
    </row>
    <row r="37" customFormat="false" ht="15" hidden="false" customHeight="false" outlineLevel="0" collapsed="false">
      <c r="A37" s="3" t="s">
        <v>69</v>
      </c>
      <c r="B37" s="6" t="n">
        <v>0</v>
      </c>
      <c r="C37" s="6" t="n">
        <v>0</v>
      </c>
      <c r="D37" s="6" t="n">
        <v>60000</v>
      </c>
      <c r="E37" s="6" t="n">
        <v>120000</v>
      </c>
      <c r="F37" s="6" t="n">
        <v>150000</v>
      </c>
      <c r="G37" s="5" t="s">
        <v>70</v>
      </c>
    </row>
    <row r="38" customFormat="false" ht="22.35" hidden="false" customHeight="false" outlineLevel="0" collapsed="false">
      <c r="A38" s="3" t="s">
        <v>71</v>
      </c>
      <c r="B38" s="7" t="n">
        <v>15</v>
      </c>
      <c r="C38" s="7" t="n">
        <v>25</v>
      </c>
      <c r="D38" s="7" t="n">
        <v>40</v>
      </c>
      <c r="E38" s="7" t="n">
        <v>50</v>
      </c>
      <c r="F38" s="7" t="n">
        <v>50</v>
      </c>
      <c r="G38" s="5" t="s">
        <v>72</v>
      </c>
    </row>
    <row r="40" customFormat="false" ht="15" hidden="false" customHeight="false" outlineLevel="0" collapsed="false">
      <c r="A40" s="2" t="s">
        <v>73</v>
      </c>
      <c r="B40" s="2" t="s">
        <v>52</v>
      </c>
      <c r="C40" s="2" t="s">
        <v>53</v>
      </c>
      <c r="D40" s="2" t="s">
        <v>54</v>
      </c>
      <c r="E40" s="2" t="s">
        <v>55</v>
      </c>
      <c r="F40" s="2" t="s">
        <v>56</v>
      </c>
      <c r="G40" s="2" t="s">
        <v>2</v>
      </c>
    </row>
    <row r="41" customFormat="false" ht="22.35" hidden="false" customHeight="false" outlineLevel="0" collapsed="false">
      <c r="A41" s="3" t="s">
        <v>74</v>
      </c>
      <c r="B41" s="10" t="n">
        <v>10</v>
      </c>
      <c r="C41" s="10" t="n">
        <v>100</v>
      </c>
      <c r="D41" s="10" t="n">
        <v>600</v>
      </c>
      <c r="E41" s="10" t="n">
        <v>1600</v>
      </c>
      <c r="F41" s="10" t="n">
        <v>3400</v>
      </c>
      <c r="G41" s="5" t="s">
        <v>75</v>
      </c>
    </row>
    <row r="42" customFormat="false" ht="15" hidden="false" customHeight="false" outlineLevel="0" collapsed="false">
      <c r="A42" s="3" t="s">
        <v>76</v>
      </c>
      <c r="B42" s="10" t="n">
        <v>17</v>
      </c>
      <c r="C42" s="10" t="n">
        <v>105</v>
      </c>
      <c r="D42" s="10" t="n">
        <v>450</v>
      </c>
      <c r="E42" s="10" t="n">
        <v>1050</v>
      </c>
      <c r="F42" s="10" t="n">
        <v>2000</v>
      </c>
      <c r="G42" s="5" t="s">
        <v>77</v>
      </c>
    </row>
    <row r="43" customFormat="false" ht="15" hidden="false" customHeight="false" outlineLevel="0" collapsed="false">
      <c r="A43" s="3" t="s">
        <v>78</v>
      </c>
      <c r="B43" s="10" t="n">
        <v>8</v>
      </c>
      <c r="C43" s="10" t="n">
        <v>40</v>
      </c>
      <c r="D43" s="10" t="n">
        <v>130</v>
      </c>
      <c r="E43" s="10" t="n">
        <v>300</v>
      </c>
      <c r="F43" s="10" t="n">
        <v>520</v>
      </c>
      <c r="G43" s="5" t="s">
        <v>79</v>
      </c>
    </row>
    <row r="44" customFormat="false" ht="15" hidden="false" customHeight="false" outlineLevel="0" collapsed="false">
      <c r="A44" s="3" t="s">
        <v>80</v>
      </c>
      <c r="B44" s="10" t="n">
        <v>0</v>
      </c>
      <c r="C44" s="10" t="n">
        <v>5</v>
      </c>
      <c r="D44" s="10" t="n">
        <v>20</v>
      </c>
      <c r="E44" s="10" t="n">
        <v>50</v>
      </c>
      <c r="F44" s="10" t="n">
        <v>80</v>
      </c>
      <c r="G44" s="5" t="s">
        <v>81</v>
      </c>
    </row>
    <row r="45" customFormat="false" ht="22.35" hidden="false" customHeight="false" outlineLevel="0" collapsed="false">
      <c r="A45" s="11" t="s">
        <v>82</v>
      </c>
      <c r="B45" s="12" t="n">
        <f aca="false">SUM(B41:B44)</f>
        <v>35</v>
      </c>
      <c r="C45" s="12" t="n">
        <f aca="false">SUM(C41:C44)</f>
        <v>250</v>
      </c>
      <c r="D45" s="12" t="n">
        <f aca="false">SUM(D41:D44)</f>
        <v>1200</v>
      </c>
      <c r="E45" s="12" t="n">
        <f aca="false">SUM(E41:E44)</f>
        <v>3000</v>
      </c>
      <c r="F45" s="12" t="n">
        <f aca="false">SUM(F41:F44)</f>
        <v>6000</v>
      </c>
      <c r="G45" s="5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16"/>
    <col collapsed="false" customWidth="true" hidden="false" outlineLevel="0" max="6" min="6" style="0" width="2"/>
    <col collapsed="false" customWidth="true" hidden="false" outlineLevel="0" max="7" min="7" style="0" width="66"/>
  </cols>
  <sheetData>
    <row r="1" customFormat="false" ht="15" hidden="false" customHeight="false" outlineLevel="0" collapsed="false">
      <c r="A1" s="1" t="s">
        <v>84</v>
      </c>
    </row>
    <row r="3" customFormat="false" ht="15" hidden="false" customHeight="false" outlineLevel="0" collapsed="false">
      <c r="B3" s="2" t="s">
        <v>85</v>
      </c>
      <c r="C3" s="2" t="s">
        <v>86</v>
      </c>
      <c r="D3" s="2" t="s">
        <v>87</v>
      </c>
      <c r="E3" s="2" t="s">
        <v>88</v>
      </c>
      <c r="G3" s="2" t="s">
        <v>89</v>
      </c>
    </row>
    <row r="4" customFormat="false" ht="15" hidden="false" customHeight="false" outlineLevel="0" collapsed="false">
      <c r="A4" s="3" t="s">
        <v>90</v>
      </c>
      <c r="B4" s="13" t="n">
        <f aca="false">Assumptions!$B$4</f>
        <v>79</v>
      </c>
      <c r="C4" s="13" t="n">
        <f aca="false">Assumptions!$B$5</f>
        <v>169</v>
      </c>
      <c r="D4" s="13" t="n">
        <f aca="false">Assumptions!$B$6</f>
        <v>299</v>
      </c>
      <c r="E4" s="13" t="n">
        <f aca="false">Assumptions!$B$7</f>
        <v>499</v>
      </c>
      <c r="G4" s="5" t="s">
        <v>91</v>
      </c>
    </row>
    <row r="5" customFormat="false" ht="15" hidden="false" customHeight="false" outlineLevel="0" collapsed="false">
      <c r="A5" s="3" t="s">
        <v>92</v>
      </c>
      <c r="B5" s="13" t="n">
        <f aca="false">Assumptions!$B$10</f>
        <v>16</v>
      </c>
      <c r="C5" s="13" t="n">
        <f aca="false">Assumptions!$B$11</f>
        <v>45</v>
      </c>
      <c r="D5" s="13" t="n">
        <f aca="false">Assumptions!$B$12</f>
        <v>100</v>
      </c>
      <c r="E5" s="13" t="n">
        <f aca="false">Assumptions!$B$13</f>
        <v>180</v>
      </c>
      <c r="G5" s="5" t="s">
        <v>93</v>
      </c>
    </row>
    <row r="6" customFormat="false" ht="15" hidden="false" customHeight="false" outlineLevel="0" collapsed="false">
      <c r="A6" s="3" t="s">
        <v>94</v>
      </c>
      <c r="B6" s="13" t="n">
        <f aca="false">B4*Assumptions!$B$14</f>
        <v>3.16</v>
      </c>
      <c r="C6" s="13" t="n">
        <f aca="false">C4*Assumptions!$B$14</f>
        <v>6.76</v>
      </c>
      <c r="D6" s="13" t="n">
        <f aca="false">D4*Assumptions!$B$14</f>
        <v>11.96</v>
      </c>
      <c r="E6" s="13" t="n">
        <f aca="false">E4*Assumptions!$B$14</f>
        <v>19.96</v>
      </c>
      <c r="G6" s="5" t="s">
        <v>95</v>
      </c>
    </row>
    <row r="7" customFormat="false" ht="15" hidden="false" customHeight="false" outlineLevel="0" collapsed="false">
      <c r="A7" s="3" t="s">
        <v>96</v>
      </c>
      <c r="B7" s="13" t="n">
        <f aca="false">B5+B6</f>
        <v>19.16</v>
      </c>
      <c r="C7" s="13" t="n">
        <f aca="false">C5+C6</f>
        <v>51.76</v>
      </c>
      <c r="D7" s="13" t="n">
        <f aca="false">D5+D6</f>
        <v>111.96</v>
      </c>
      <c r="E7" s="13" t="n">
        <f aca="false">E5+E6</f>
        <v>199.96</v>
      </c>
    </row>
    <row r="8" customFormat="false" ht="15" hidden="false" customHeight="false" outlineLevel="0" collapsed="false">
      <c r="A8" s="3" t="s">
        <v>97</v>
      </c>
      <c r="B8" s="13" t="n">
        <f aca="false">B4-B7</f>
        <v>59.84</v>
      </c>
      <c r="C8" s="13" t="n">
        <f aca="false">C4-C7</f>
        <v>117.24</v>
      </c>
      <c r="D8" s="13" t="n">
        <f aca="false">D4-D7</f>
        <v>187.04</v>
      </c>
      <c r="E8" s="13" t="n">
        <f aca="false">E4-E7</f>
        <v>299.04</v>
      </c>
    </row>
    <row r="9" customFormat="false" ht="22.35" hidden="false" customHeight="false" outlineLevel="0" collapsed="false">
      <c r="A9" s="3" t="s">
        <v>98</v>
      </c>
      <c r="B9" s="14" t="n">
        <f aca="false">B8/B4</f>
        <v>0.75746835443038</v>
      </c>
      <c r="C9" s="14" t="n">
        <f aca="false">C8/C4</f>
        <v>0.693727810650888</v>
      </c>
      <c r="D9" s="14" t="n">
        <f aca="false">D8/D4</f>
        <v>0.625551839464883</v>
      </c>
      <c r="E9" s="14" t="n">
        <f aca="false">E8/E4</f>
        <v>0.599278557114228</v>
      </c>
      <c r="G9" s="5" t="s">
        <v>99</v>
      </c>
    </row>
    <row r="10" customFormat="false" ht="15" hidden="false" customHeight="false" outlineLevel="0" collapsed="false">
      <c r="A10" s="3" t="s">
        <v>100</v>
      </c>
      <c r="B10" s="15" t="n">
        <f aca="false">1/Assumptions!$B$15</f>
        <v>33.3333333333333</v>
      </c>
      <c r="C10" s="15" t="n">
        <f aca="false">1/Assumptions!$B$15</f>
        <v>33.3333333333333</v>
      </c>
      <c r="D10" s="15" t="n">
        <f aca="false">1/Assumptions!$B$15</f>
        <v>33.3333333333333</v>
      </c>
      <c r="E10" s="15" t="n">
        <f aca="false">1/Assumptions!$B$15</f>
        <v>33.3333333333333</v>
      </c>
      <c r="G10" s="5" t="s">
        <v>101</v>
      </c>
    </row>
    <row r="11" customFormat="false" ht="15" hidden="false" customHeight="false" outlineLevel="0" collapsed="false">
      <c r="A11" s="3" t="s">
        <v>102</v>
      </c>
      <c r="B11" s="13" t="n">
        <f aca="false">B8*B10</f>
        <v>1994.66666666667</v>
      </c>
      <c r="C11" s="13" t="n">
        <f aca="false">C8*C10</f>
        <v>3908</v>
      </c>
      <c r="D11" s="13" t="n">
        <f aca="false">D8*D10</f>
        <v>6234.66666666667</v>
      </c>
      <c r="E11" s="13" t="n">
        <f aca="false">E8*E10</f>
        <v>9968</v>
      </c>
    </row>
    <row r="12" customFormat="false" ht="15" hidden="false" customHeight="false" outlineLevel="0" collapsed="false">
      <c r="A12" s="3" t="s">
        <v>103</v>
      </c>
      <c r="B12" s="13" t="n">
        <f aca="false">Assumptions!$B$16</f>
        <v>185</v>
      </c>
      <c r="C12" s="13" t="n">
        <f aca="false">Assumptions!$B$16</f>
        <v>185</v>
      </c>
      <c r="D12" s="13" t="n">
        <f aca="false">Assumptions!$B$16</f>
        <v>185</v>
      </c>
      <c r="E12" s="13" t="n">
        <f aca="false">Assumptions!$B$16</f>
        <v>185</v>
      </c>
      <c r="G12" s="5" t="s">
        <v>104</v>
      </c>
    </row>
    <row r="13" customFormat="false" ht="15" hidden="false" customHeight="false" outlineLevel="0" collapsed="false">
      <c r="A13" s="3" t="s">
        <v>105</v>
      </c>
      <c r="B13" s="15" t="n">
        <f aca="false">B12/B8</f>
        <v>3.09157754010695</v>
      </c>
      <c r="C13" s="15" t="n">
        <f aca="false">C12/C8</f>
        <v>1.57795974070283</v>
      </c>
      <c r="D13" s="15" t="n">
        <f aca="false">D12/D8</f>
        <v>0.989093242087254</v>
      </c>
      <c r="E13" s="15" t="n">
        <f aca="false">E12/E8</f>
        <v>0.61864633493847</v>
      </c>
      <c r="G13" s="5" t="s">
        <v>106</v>
      </c>
    </row>
    <row r="14" customFormat="false" ht="22.35" hidden="false" customHeight="false" outlineLevel="0" collapsed="false">
      <c r="A14" s="3" t="s">
        <v>107</v>
      </c>
      <c r="B14" s="16" t="n">
        <f aca="false">B11/B12</f>
        <v>10.781981981982</v>
      </c>
      <c r="C14" s="16" t="n">
        <f aca="false">C11/C12</f>
        <v>21.1243243243243</v>
      </c>
      <c r="D14" s="16" t="n">
        <f aca="false">D11/D12</f>
        <v>33.7009009009009</v>
      </c>
      <c r="E14" s="16" t="n">
        <f aca="false">E11/E12</f>
        <v>53.8810810810811</v>
      </c>
      <c r="G14" s="5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4"/>
    <col collapsed="false" customWidth="true" hidden="false" outlineLevel="0" max="7" min="7" style="0" width="2"/>
    <col collapsed="false" customWidth="true" hidden="false" outlineLevel="0" max="8" min="8" style="0" width="64"/>
  </cols>
  <sheetData>
    <row r="1" customFormat="false" ht="15" hidden="false" customHeight="false" outlineLevel="0" collapsed="false">
      <c r="A1" s="1" t="s">
        <v>109</v>
      </c>
    </row>
    <row r="3" customFormat="false" ht="15" hidden="false" customHeight="false" outlineLevel="0" collapsed="false">
      <c r="B3" s="2" t="s">
        <v>52</v>
      </c>
      <c r="C3" s="2" t="s">
        <v>53</v>
      </c>
      <c r="D3" s="2" t="s">
        <v>54</v>
      </c>
      <c r="E3" s="2" t="s">
        <v>55</v>
      </c>
      <c r="F3" s="2" t="s">
        <v>56</v>
      </c>
      <c r="H3" s="2" t="s">
        <v>89</v>
      </c>
    </row>
    <row r="4" customFormat="false" ht="15" hidden="false" customHeight="false" outlineLevel="0" collapsed="false">
      <c r="A4" s="2" t="s">
        <v>110</v>
      </c>
    </row>
    <row r="5" customFormat="false" ht="15" hidden="false" customHeight="false" outlineLevel="0" collapsed="false">
      <c r="A5" s="3" t="s">
        <v>85</v>
      </c>
      <c r="B5" s="17" t="n">
        <f aca="false">Assumptions!B41</f>
        <v>10</v>
      </c>
      <c r="C5" s="17" t="n">
        <f aca="false">Assumptions!C41</f>
        <v>100</v>
      </c>
      <c r="D5" s="17" t="n">
        <f aca="false">Assumptions!D41</f>
        <v>600</v>
      </c>
      <c r="E5" s="17" t="n">
        <f aca="false">Assumptions!E41</f>
        <v>1600</v>
      </c>
      <c r="F5" s="17" t="n">
        <f aca="false">Assumptions!F41</f>
        <v>3400</v>
      </c>
    </row>
    <row r="6" customFormat="false" ht="15" hidden="false" customHeight="false" outlineLevel="0" collapsed="false">
      <c r="A6" s="3" t="s">
        <v>86</v>
      </c>
      <c r="B6" s="17" t="n">
        <f aca="false">Assumptions!B42</f>
        <v>17</v>
      </c>
      <c r="C6" s="17" t="n">
        <f aca="false">Assumptions!C42</f>
        <v>105</v>
      </c>
      <c r="D6" s="17" t="n">
        <f aca="false">Assumptions!D42</f>
        <v>450</v>
      </c>
      <c r="E6" s="17" t="n">
        <f aca="false">Assumptions!E42</f>
        <v>1050</v>
      </c>
      <c r="F6" s="17" t="n">
        <f aca="false">Assumptions!F42</f>
        <v>2000</v>
      </c>
    </row>
    <row r="7" customFormat="false" ht="15" hidden="false" customHeight="false" outlineLevel="0" collapsed="false">
      <c r="A7" s="3" t="s">
        <v>87</v>
      </c>
      <c r="B7" s="17" t="n">
        <f aca="false">Assumptions!B43</f>
        <v>8</v>
      </c>
      <c r="C7" s="17" t="n">
        <f aca="false">Assumptions!C43</f>
        <v>40</v>
      </c>
      <c r="D7" s="17" t="n">
        <f aca="false">Assumptions!D43</f>
        <v>130</v>
      </c>
      <c r="E7" s="17" t="n">
        <f aca="false">Assumptions!E43</f>
        <v>300</v>
      </c>
      <c r="F7" s="17" t="n">
        <f aca="false">Assumptions!F43</f>
        <v>520</v>
      </c>
    </row>
    <row r="8" customFormat="false" ht="15" hidden="false" customHeight="false" outlineLevel="0" collapsed="false">
      <c r="A8" s="3" t="s">
        <v>88</v>
      </c>
      <c r="B8" s="17" t="n">
        <f aca="false">Assumptions!B44</f>
        <v>0</v>
      </c>
      <c r="C8" s="17" t="n">
        <f aca="false">Assumptions!C44</f>
        <v>5</v>
      </c>
      <c r="D8" s="17" t="n">
        <f aca="false">Assumptions!D44</f>
        <v>20</v>
      </c>
      <c r="E8" s="17" t="n">
        <f aca="false">Assumptions!E44</f>
        <v>50</v>
      </c>
      <c r="F8" s="17" t="n">
        <f aca="false">Assumptions!F44</f>
        <v>80</v>
      </c>
    </row>
    <row r="9" customFormat="false" ht="15" hidden="false" customHeight="false" outlineLevel="0" collapsed="false">
      <c r="A9" s="11" t="s">
        <v>82</v>
      </c>
      <c r="B9" s="12" t="n">
        <f aca="false">SUM(B5:B8)</f>
        <v>35</v>
      </c>
      <c r="C9" s="12" t="n">
        <f aca="false">SUM(C5:C8)</f>
        <v>250</v>
      </c>
      <c r="D9" s="12" t="n">
        <f aca="false">SUM(D5:D8)</f>
        <v>1200</v>
      </c>
      <c r="E9" s="12" t="n">
        <f aca="false">SUM(E5:E8)</f>
        <v>3000</v>
      </c>
      <c r="F9" s="12" t="n">
        <f aca="false">SUM(F5:F8)</f>
        <v>6000</v>
      </c>
      <c r="H9" s="5" t="s">
        <v>111</v>
      </c>
    </row>
    <row r="10" customFormat="false" ht="15" hidden="false" customHeight="false" outlineLevel="0" collapsed="false">
      <c r="A10" s="3" t="s">
        <v>112</v>
      </c>
      <c r="B10" s="15" t="n">
        <f aca="false">(0+B9)/2</f>
        <v>17.5</v>
      </c>
      <c r="C10" s="15" t="n">
        <f aca="false">(B9+C9)/2</f>
        <v>142.5</v>
      </c>
      <c r="D10" s="15" t="n">
        <f aca="false">(C9+D9)/2</f>
        <v>725</v>
      </c>
      <c r="E10" s="15" t="n">
        <f aca="false">(D9+E9)/2</f>
        <v>2100</v>
      </c>
      <c r="F10" s="15" t="n">
        <f aca="false">(E9+F9)/2</f>
        <v>4500</v>
      </c>
      <c r="H10" s="5" t="s">
        <v>113</v>
      </c>
    </row>
    <row r="12" customFormat="false" ht="15" hidden="false" customHeight="false" outlineLevel="0" collapsed="false">
      <c r="A12" s="2" t="s">
        <v>114</v>
      </c>
    </row>
    <row r="13" customFormat="false" ht="15" hidden="false" customHeight="false" outlineLevel="0" collapsed="false">
      <c r="A13" s="3" t="s">
        <v>115</v>
      </c>
      <c r="B13" s="13" t="n">
        <f aca="false">B5*Assumptions!$B$4+B6*Assumptions!$B$5+B7*Assumptions!$B$6+B8*Assumptions!$B$7</f>
        <v>6055</v>
      </c>
      <c r="C13" s="13" t="n">
        <f aca="false">C5*Assumptions!$B$4+C6*Assumptions!$B$5+C7*Assumptions!$B$6+C8*Assumptions!$B$7</f>
        <v>40100</v>
      </c>
      <c r="D13" s="13" t="n">
        <f aca="false">D5*Assumptions!$B$4+D6*Assumptions!$B$5+D7*Assumptions!$B$6+D8*Assumptions!$B$7</f>
        <v>172300</v>
      </c>
      <c r="E13" s="13" t="n">
        <f aca="false">E5*Assumptions!$B$4+E6*Assumptions!$B$5+E7*Assumptions!$B$6+E8*Assumptions!$B$7</f>
        <v>418500</v>
      </c>
      <c r="F13" s="13" t="n">
        <f aca="false">F5*Assumptions!$B$4+F6*Assumptions!$B$5+F7*Assumptions!$B$6+F8*Assumptions!$B$7</f>
        <v>802000</v>
      </c>
    </row>
    <row r="14" customFormat="false" ht="22.35" hidden="false" customHeight="false" outlineLevel="0" collapsed="false">
      <c r="A14" s="11" t="s">
        <v>116</v>
      </c>
      <c r="B14" s="18" t="n">
        <f aca="false">B13*12</f>
        <v>72660</v>
      </c>
      <c r="C14" s="18" t="n">
        <f aca="false">C13*12</f>
        <v>481200</v>
      </c>
      <c r="D14" s="18" t="n">
        <f aca="false">D13*12</f>
        <v>2067600</v>
      </c>
      <c r="E14" s="18" t="n">
        <f aca="false">E13*12</f>
        <v>5022000</v>
      </c>
      <c r="F14" s="18" t="n">
        <f aca="false">F13*12</f>
        <v>9624000</v>
      </c>
      <c r="H14" s="5" t="s">
        <v>117</v>
      </c>
    </row>
    <row r="15" customFormat="false" ht="22.35" hidden="false" customHeight="false" outlineLevel="0" collapsed="false">
      <c r="A15" s="3" t="s">
        <v>118</v>
      </c>
      <c r="B15" s="13" t="n">
        <f aca="false">B13/B9</f>
        <v>173</v>
      </c>
      <c r="C15" s="13" t="n">
        <f aca="false">C13/C9</f>
        <v>160.4</v>
      </c>
      <c r="D15" s="13" t="n">
        <f aca="false">D13/D9</f>
        <v>143.583333333333</v>
      </c>
      <c r="E15" s="13" t="n">
        <f aca="false">E13/E9</f>
        <v>139.5</v>
      </c>
      <c r="F15" s="13" t="n">
        <f aca="false">F13/F9</f>
        <v>133.666666666667</v>
      </c>
      <c r="H15" s="5" t="s">
        <v>119</v>
      </c>
    </row>
    <row r="16" customFormat="false" ht="15" hidden="false" customHeight="false" outlineLevel="0" collapsed="false">
      <c r="A16" s="3" t="s">
        <v>120</v>
      </c>
      <c r="B16" s="13" t="n">
        <f aca="false">(0+B13)/2*12</f>
        <v>36330</v>
      </c>
      <c r="C16" s="13" t="n">
        <f aca="false">(B13+C13)/2*12</f>
        <v>276930</v>
      </c>
      <c r="D16" s="13" t="n">
        <f aca="false">(C13+D13)/2*12</f>
        <v>1274400</v>
      </c>
      <c r="E16" s="13" t="n">
        <f aca="false">(D13+E13)/2*12</f>
        <v>3544800</v>
      </c>
      <c r="F16" s="13" t="n">
        <f aca="false">(E13+F13)/2*12</f>
        <v>7323000</v>
      </c>
      <c r="H16" s="5" t="s">
        <v>121</v>
      </c>
    </row>
    <row r="18" customFormat="false" ht="15" hidden="false" customHeight="false" outlineLevel="0" collapsed="false">
      <c r="A18" s="2" t="s">
        <v>122</v>
      </c>
    </row>
    <row r="19" customFormat="false" ht="15" hidden="false" customHeight="false" outlineLevel="0" collapsed="false">
      <c r="A19" s="3" t="s">
        <v>123</v>
      </c>
      <c r="B19" s="13" t="n">
        <f aca="false">12*((B5/2)*Assumptions!$B$10+(B6/2)*Assumptions!$B$11+(B7/2)*Assumptions!$B$12+(B8/2)*Assumptions!$B$13)</f>
        <v>10350</v>
      </c>
      <c r="C19" s="13" t="n">
        <f aca="false">12*(((B5+C5)/2)*Assumptions!$B$10+((B6+C6)/2)*Assumptions!$B$11+((B7+C7)/2)*Assumptions!$B$12+((B8+C8)/2)*Assumptions!$B$13)</f>
        <v>77700</v>
      </c>
      <c r="D19" s="13" t="n">
        <f aca="false">12*(((C5+D5)/2)*Assumptions!$B$10+((C6+D6)/2)*Assumptions!$B$11+((C7+D7)/2)*Assumptions!$B$12+((C8+D8)/2)*Assumptions!$B$13)</f>
        <v>346050</v>
      </c>
      <c r="E19" s="13" t="n">
        <f aca="false">12*(((D5+E5)/2)*Assumptions!$B$10+((D6+E6)/2)*Assumptions!$B$11+((D7+E7)/2)*Assumptions!$B$12+((D8+E8)/2)*Assumptions!$B$13)</f>
        <v>949800</v>
      </c>
      <c r="F19" s="13" t="n">
        <f aca="false">12*(((E5+F5)/2)*Assumptions!$B$10+((E6+F6)/2)*Assumptions!$B$11+((E7+F7)/2)*Assumptions!$B$12+((E8+F8)/2)*Assumptions!$B$13)</f>
        <v>1935900</v>
      </c>
      <c r="H19" s="5" t="s">
        <v>124</v>
      </c>
    </row>
    <row r="20" customFormat="false" ht="15" hidden="false" customHeight="false" outlineLevel="0" collapsed="false">
      <c r="A20" s="3" t="s">
        <v>125</v>
      </c>
      <c r="B20" s="13" t="n">
        <f aca="false">B16*Assumptions!$B$14</f>
        <v>1453.2</v>
      </c>
      <c r="C20" s="13" t="n">
        <f aca="false">C16*Assumptions!$B$14</f>
        <v>11077.2</v>
      </c>
      <c r="D20" s="13" t="n">
        <f aca="false">D16*Assumptions!$B$14</f>
        <v>50976</v>
      </c>
      <c r="E20" s="13" t="n">
        <f aca="false">E16*Assumptions!$B$14</f>
        <v>141792</v>
      </c>
      <c r="F20" s="13" t="n">
        <f aca="false">F16*Assumptions!$B$14</f>
        <v>292920</v>
      </c>
    </row>
    <row r="21" customFormat="false" ht="15" hidden="false" customHeight="false" outlineLevel="0" collapsed="false">
      <c r="A21" s="3" t="s">
        <v>126</v>
      </c>
      <c r="B21" s="13" t="n">
        <f aca="false">B19+B20</f>
        <v>11803.2</v>
      </c>
      <c r="C21" s="13" t="n">
        <f aca="false">C19+C20</f>
        <v>88777.2</v>
      </c>
      <c r="D21" s="13" t="n">
        <f aca="false">D19+D20</f>
        <v>397026</v>
      </c>
      <c r="E21" s="13" t="n">
        <f aca="false">E19+E20</f>
        <v>1091592</v>
      </c>
      <c r="F21" s="13" t="n">
        <f aca="false">F19+F20</f>
        <v>2228820</v>
      </c>
    </row>
    <row r="22" customFormat="false" ht="15" hidden="false" customHeight="false" outlineLevel="0" collapsed="false">
      <c r="A22" s="11" t="s">
        <v>127</v>
      </c>
      <c r="B22" s="18" t="n">
        <f aca="false">B16-B21</f>
        <v>24526.8</v>
      </c>
      <c r="C22" s="18" t="n">
        <f aca="false">C16-C21</f>
        <v>188152.8</v>
      </c>
      <c r="D22" s="18" t="n">
        <f aca="false">D16-D21</f>
        <v>877374</v>
      </c>
      <c r="E22" s="18" t="n">
        <f aca="false">E16-E21</f>
        <v>2453208</v>
      </c>
      <c r="F22" s="18" t="n">
        <f aca="false">F16-F21</f>
        <v>5094180</v>
      </c>
    </row>
    <row r="23" customFormat="false" ht="22.35" hidden="false" customHeight="false" outlineLevel="0" collapsed="false">
      <c r="A23" s="3" t="s">
        <v>128</v>
      </c>
      <c r="B23" s="14" t="n">
        <f aca="false">B22/B16</f>
        <v>0.675111478117259</v>
      </c>
      <c r="C23" s="14" t="n">
        <f aca="false">C22/C16</f>
        <v>0.67942368107464</v>
      </c>
      <c r="D23" s="14" t="n">
        <f aca="false">D22/D16</f>
        <v>0.688460451977401</v>
      </c>
      <c r="E23" s="14" t="n">
        <f aca="false">E22/E16</f>
        <v>0.692058226134056</v>
      </c>
      <c r="F23" s="14" t="n">
        <f aca="false">F22/F16</f>
        <v>0.695641130684146</v>
      </c>
      <c r="H23" s="5" t="s">
        <v>129</v>
      </c>
    </row>
    <row r="25" customFormat="false" ht="15" hidden="false" customHeight="false" outlineLevel="0" collapsed="false">
      <c r="A25" s="2" t="s">
        <v>130</v>
      </c>
    </row>
    <row r="26" customFormat="false" ht="15" hidden="false" customHeight="false" outlineLevel="0" collapsed="false">
      <c r="A26" s="3" t="s">
        <v>131</v>
      </c>
      <c r="B26" s="17" t="n">
        <f aca="false">IF(B9&lt;Assumptions!$B$21,0,ROUNDUP(B10/Assumptions!$B$20,0))</f>
        <v>0</v>
      </c>
      <c r="C26" s="17" t="n">
        <f aca="false">IF(C9&lt;Assumptions!$B$21,0,ROUNDUP(C10/Assumptions!$B$20,0))</f>
        <v>1</v>
      </c>
      <c r="D26" s="17" t="n">
        <f aca="false">IF(D9&lt;Assumptions!$B$21,0,ROUNDUP(D10/Assumptions!$B$20,0))</f>
        <v>3</v>
      </c>
      <c r="E26" s="17" t="n">
        <f aca="false">IF(E9&lt;Assumptions!$B$21,0,ROUNDUP(E10/Assumptions!$B$20,0))</f>
        <v>6</v>
      </c>
      <c r="F26" s="17" t="n">
        <f aca="false">IF(F9&lt;Assumptions!$B$21,0,ROUNDUP(F10/Assumptions!$B$20,0))</f>
        <v>13</v>
      </c>
      <c r="H26" s="5" t="s">
        <v>132</v>
      </c>
    </row>
    <row r="27" customFormat="false" ht="15" hidden="false" customHeight="false" outlineLevel="0" collapsed="false">
      <c r="A27" s="3" t="s">
        <v>133</v>
      </c>
      <c r="B27" s="13" t="n">
        <f aca="false">B26*Assumptions!$B$22</f>
        <v>0</v>
      </c>
      <c r="C27" s="13" t="n">
        <f aca="false">C26*Assumptions!$B$22</f>
        <v>65000</v>
      </c>
      <c r="D27" s="13" t="n">
        <f aca="false">D26*Assumptions!$B$22</f>
        <v>195000</v>
      </c>
      <c r="E27" s="13" t="n">
        <f aca="false">E26*Assumptions!$B$22</f>
        <v>390000</v>
      </c>
      <c r="F27" s="13" t="n">
        <f aca="false">F26*Assumptions!$B$22</f>
        <v>845000</v>
      </c>
    </row>
    <row r="28" customFormat="false" ht="15" hidden="false" customHeight="false" outlineLevel="0" collapsed="false">
      <c r="A28" s="3" t="s">
        <v>65</v>
      </c>
      <c r="B28" s="17" t="n">
        <f aca="false">Assumptions!B35</f>
        <v>0</v>
      </c>
      <c r="C28" s="17" t="n">
        <f aca="false">Assumptions!C35</f>
        <v>0</v>
      </c>
      <c r="D28" s="17" t="n">
        <f aca="false">Assumptions!D35</f>
        <v>1</v>
      </c>
      <c r="E28" s="17" t="n">
        <f aca="false">Assumptions!E35</f>
        <v>3</v>
      </c>
      <c r="F28" s="17" t="n">
        <f aca="false">Assumptions!F35</f>
        <v>4</v>
      </c>
    </row>
    <row r="29" customFormat="false" ht="15" hidden="false" customHeight="false" outlineLevel="0" collapsed="false">
      <c r="A29" s="3" t="s">
        <v>134</v>
      </c>
      <c r="B29" s="13" t="n">
        <f aca="false">B28*Assumptions!$B$23</f>
        <v>0</v>
      </c>
      <c r="C29" s="13" t="n">
        <f aca="false">C28*Assumptions!$B$23</f>
        <v>0</v>
      </c>
      <c r="D29" s="13" t="n">
        <f aca="false">D28*Assumptions!$B$23</f>
        <v>140000</v>
      </c>
      <c r="E29" s="13" t="n">
        <f aca="false">E28*Assumptions!$B$23</f>
        <v>420000</v>
      </c>
      <c r="F29" s="13" t="n">
        <f aca="false">F28*Assumptions!$B$23</f>
        <v>560000</v>
      </c>
    </row>
    <row r="30" customFormat="false" ht="15" hidden="false" customHeight="false" outlineLevel="0" collapsed="false">
      <c r="A30" s="3" t="s">
        <v>67</v>
      </c>
      <c r="B30" s="17" t="n">
        <f aca="false">Assumptions!B36</f>
        <v>0</v>
      </c>
      <c r="C30" s="17" t="n">
        <f aca="false">Assumptions!C36</f>
        <v>0</v>
      </c>
      <c r="D30" s="17" t="n">
        <f aca="false">Assumptions!D36</f>
        <v>0</v>
      </c>
      <c r="E30" s="17" t="n">
        <f aca="false">Assumptions!E36</f>
        <v>1</v>
      </c>
      <c r="F30" s="17" t="n">
        <f aca="false">Assumptions!F36</f>
        <v>1</v>
      </c>
    </row>
    <row r="31" customFormat="false" ht="15" hidden="false" customHeight="false" outlineLevel="0" collapsed="false">
      <c r="A31" s="3" t="s">
        <v>135</v>
      </c>
      <c r="B31" s="13" t="n">
        <f aca="false">B30*Assumptions!$B$24</f>
        <v>0</v>
      </c>
      <c r="C31" s="13" t="n">
        <f aca="false">C30*Assumptions!$B$24</f>
        <v>0</v>
      </c>
      <c r="D31" s="13" t="n">
        <f aca="false">D30*Assumptions!$B$24</f>
        <v>0</v>
      </c>
      <c r="E31" s="13" t="n">
        <f aca="false">E30*Assumptions!$B$24</f>
        <v>100000</v>
      </c>
      <c r="F31" s="13" t="n">
        <f aca="false">F30*Assumptions!$B$24</f>
        <v>100000</v>
      </c>
    </row>
    <row r="32" customFormat="false" ht="15" hidden="false" customHeight="false" outlineLevel="0" collapsed="false">
      <c r="A32" s="3" t="s">
        <v>136</v>
      </c>
      <c r="B32" s="13" t="n">
        <f aca="false">Assumptions!B37</f>
        <v>0</v>
      </c>
      <c r="C32" s="13" t="n">
        <f aca="false">Assumptions!C37</f>
        <v>0</v>
      </c>
      <c r="D32" s="13" t="n">
        <f aca="false">Assumptions!D37</f>
        <v>60000</v>
      </c>
      <c r="E32" s="13" t="n">
        <f aca="false">Assumptions!E37</f>
        <v>120000</v>
      </c>
      <c r="F32" s="13" t="n">
        <f aca="false">Assumptions!F37</f>
        <v>150000</v>
      </c>
    </row>
    <row r="33" customFormat="false" ht="15" hidden="false" customHeight="false" outlineLevel="0" collapsed="false">
      <c r="A33" s="3" t="s">
        <v>137</v>
      </c>
      <c r="B33" s="13" t="n">
        <f aca="false">Assumptions!B33</f>
        <v>8000</v>
      </c>
      <c r="C33" s="13" t="n">
        <f aca="false">Assumptions!C33</f>
        <v>14000</v>
      </c>
      <c r="D33" s="13" t="n">
        <f aca="false">Assumptions!D33</f>
        <v>30000</v>
      </c>
      <c r="E33" s="13" t="n">
        <f aca="false">Assumptions!E33</f>
        <v>60000</v>
      </c>
      <c r="F33" s="13" t="n">
        <f aca="false">Assumptions!F33</f>
        <v>90000</v>
      </c>
    </row>
    <row r="34" customFormat="false" ht="15" hidden="false" customHeight="false" outlineLevel="0" collapsed="false">
      <c r="A34" s="3" t="s">
        <v>138</v>
      </c>
      <c r="B34" s="13" t="n">
        <f aca="false">Assumptions!$B$25</f>
        <v>10000</v>
      </c>
      <c r="C34" s="13" t="n">
        <f aca="false">Assumptions!$B$25</f>
        <v>10000</v>
      </c>
      <c r="D34" s="13" t="n">
        <f aca="false">Assumptions!$B$25</f>
        <v>10000</v>
      </c>
      <c r="E34" s="13" t="n">
        <f aca="false">Assumptions!$B$25</f>
        <v>10000</v>
      </c>
      <c r="F34" s="13" t="n">
        <f aca="false">Assumptions!$B$25</f>
        <v>10000</v>
      </c>
    </row>
    <row r="35" customFormat="false" ht="15" hidden="false" customHeight="false" outlineLevel="0" collapsed="false">
      <c r="A35" s="3" t="s">
        <v>139</v>
      </c>
      <c r="B35" s="13" t="n">
        <f aca="false">Assumptions!B34</f>
        <v>0</v>
      </c>
      <c r="C35" s="13" t="n">
        <f aca="false">Assumptions!C34</f>
        <v>0</v>
      </c>
      <c r="D35" s="13" t="n">
        <f aca="false">Assumptions!D34</f>
        <v>45000</v>
      </c>
      <c r="E35" s="13" t="n">
        <f aca="false">Assumptions!E34</f>
        <v>32000</v>
      </c>
      <c r="F35" s="13" t="n">
        <f aca="false">Assumptions!F34</f>
        <v>32000</v>
      </c>
      <c r="H35" s="5" t="s">
        <v>140</v>
      </c>
    </row>
    <row r="36" customFormat="false" ht="15" hidden="false" customHeight="false" outlineLevel="0" collapsed="false">
      <c r="A36" s="3" t="s">
        <v>141</v>
      </c>
      <c r="B36" s="15" t="n">
        <f aca="false">B10*Assumptions!B31*12</f>
        <v>10.5</v>
      </c>
      <c r="C36" s="15" t="n">
        <f aca="false">C10*Assumptions!C31*12</f>
        <v>68.4</v>
      </c>
      <c r="D36" s="15" t="n">
        <f aca="false">D10*Assumptions!D31*12</f>
        <v>304.5</v>
      </c>
      <c r="E36" s="15" t="n">
        <f aca="false">E10*Assumptions!E31*12</f>
        <v>756</v>
      </c>
      <c r="F36" s="15" t="n">
        <f aca="false">F10*Assumptions!F31*12</f>
        <v>1485</v>
      </c>
    </row>
    <row r="37" customFormat="false" ht="15" hidden="false" customHeight="false" outlineLevel="0" collapsed="false">
      <c r="A37" s="3" t="s">
        <v>142</v>
      </c>
      <c r="B37" s="15" t="n">
        <f aca="false">B9+B36</f>
        <v>45.5</v>
      </c>
      <c r="C37" s="15" t="n">
        <f aca="false">C9-B9+C36</f>
        <v>283.4</v>
      </c>
      <c r="D37" s="15" t="n">
        <f aca="false">D9-C9+D36</f>
        <v>1254.5</v>
      </c>
      <c r="E37" s="15" t="n">
        <f aca="false">E9-D9+E36</f>
        <v>2556</v>
      </c>
      <c r="F37" s="15" t="n">
        <f aca="false">F9-E9+F36</f>
        <v>4485</v>
      </c>
    </row>
    <row r="38" customFormat="false" ht="15" hidden="false" customHeight="false" outlineLevel="0" collapsed="false">
      <c r="A38" s="3" t="s">
        <v>143</v>
      </c>
      <c r="B38" s="13" t="n">
        <f aca="false">B37*Assumptions!B32</f>
        <v>3412.5</v>
      </c>
      <c r="C38" s="13" t="n">
        <f aca="false">C37*Assumptions!C32</f>
        <v>49595</v>
      </c>
      <c r="D38" s="13" t="n">
        <f aca="false">D37*Assumptions!D32</f>
        <v>250900</v>
      </c>
      <c r="E38" s="13" t="n">
        <f aca="false">E37*Assumptions!E32</f>
        <v>639000</v>
      </c>
      <c r="F38" s="13" t="n">
        <f aca="false">F37*Assumptions!F32</f>
        <v>1233375</v>
      </c>
      <c r="H38" s="5" t="s">
        <v>144</v>
      </c>
    </row>
    <row r="39" customFormat="false" ht="15" hidden="false" customHeight="false" outlineLevel="0" collapsed="false">
      <c r="A39" s="3" t="s">
        <v>145</v>
      </c>
      <c r="B39" s="13" t="n">
        <f aca="false">B16*Assumptions!$B$26</f>
        <v>1816.5</v>
      </c>
      <c r="C39" s="13" t="n">
        <f aca="false">C16*Assumptions!$B$26</f>
        <v>13846.5</v>
      </c>
      <c r="D39" s="13" t="n">
        <f aca="false">D16*Assumptions!$B$26</f>
        <v>63720</v>
      </c>
      <c r="E39" s="13" t="n">
        <f aca="false">E16*Assumptions!$B$26</f>
        <v>177240</v>
      </c>
      <c r="F39" s="13" t="n">
        <f aca="false">F16*Assumptions!$B$26</f>
        <v>366150</v>
      </c>
    </row>
    <row r="40" customFormat="false" ht="15" hidden="false" customHeight="false" outlineLevel="0" collapsed="false">
      <c r="A40" s="11" t="s">
        <v>146</v>
      </c>
      <c r="B40" s="18" t="n">
        <f aca="false">B27+B29+B31+B32+B33+B34+B35+B38+B39</f>
        <v>23229</v>
      </c>
      <c r="C40" s="18" t="n">
        <f aca="false">C27+C29+C31+C32+C33+C34+C35+C38+C39</f>
        <v>152441.5</v>
      </c>
      <c r="D40" s="18" t="n">
        <f aca="false">D27+D29+D31+D32+D33+D34+D35+D38+D39</f>
        <v>794620</v>
      </c>
      <c r="E40" s="18" t="n">
        <f aca="false">E27+E29+E31+E32+E33+E34+E35+E38+E39</f>
        <v>1948240</v>
      </c>
      <c r="F40" s="18" t="n">
        <f aca="false">F27+F29+F31+F32+F33+F34+F35+F38+F39</f>
        <v>3386525</v>
      </c>
    </row>
    <row r="42" customFormat="false" ht="22.35" hidden="false" customHeight="false" outlineLevel="0" collapsed="false">
      <c r="A42" s="11" t="s">
        <v>147</v>
      </c>
      <c r="B42" s="19" t="n">
        <f aca="false">B22-B40</f>
        <v>1297.8</v>
      </c>
      <c r="C42" s="19" t="n">
        <f aca="false">C22-C40</f>
        <v>35711.3</v>
      </c>
      <c r="D42" s="19" t="n">
        <f aca="false">D22-D40</f>
        <v>82754</v>
      </c>
      <c r="E42" s="19" t="n">
        <f aca="false">E22-E40</f>
        <v>504968</v>
      </c>
      <c r="F42" s="19" t="n">
        <f aca="false">F22-F40</f>
        <v>1707655</v>
      </c>
      <c r="H42" s="5" t="s">
        <v>148</v>
      </c>
    </row>
    <row r="43" customFormat="false" ht="15" hidden="false" customHeight="false" outlineLevel="0" collapsed="false">
      <c r="A43" s="3" t="s">
        <v>149</v>
      </c>
      <c r="B43" s="14" t="n">
        <f aca="false">B42/B16</f>
        <v>0.0357225433526011</v>
      </c>
      <c r="C43" s="14" t="n">
        <f aca="false">C42/C16</f>
        <v>0.128954248366013</v>
      </c>
      <c r="D43" s="14" t="n">
        <f aca="false">D42/D16</f>
        <v>0.064935655994978</v>
      </c>
      <c r="E43" s="14" t="n">
        <f aca="false">E42/E16</f>
        <v>0.142453170841796</v>
      </c>
      <c r="F43" s="14" t="n">
        <f aca="false">F42/F16</f>
        <v>0.23319063225454</v>
      </c>
    </row>
    <row r="45" customFormat="false" ht="15" hidden="false" customHeight="false" outlineLevel="0" collapsed="false">
      <c r="A45" s="3" t="s">
        <v>150</v>
      </c>
      <c r="B45" s="17" t="n">
        <f aca="false">B26+B28+B30+1</f>
        <v>1</v>
      </c>
      <c r="C45" s="17" t="n">
        <f aca="false">C26+C28+C30+1</f>
        <v>2</v>
      </c>
      <c r="D45" s="17" t="n">
        <f aca="false">D26+D28+D30+1</f>
        <v>5</v>
      </c>
      <c r="E45" s="17" t="n">
        <f aca="false">E26+E28+E30+1</f>
        <v>11</v>
      </c>
      <c r="F45" s="17" t="n">
        <f aca="false">F26+F28+F30+1</f>
        <v>19</v>
      </c>
      <c r="H45" s="5" t="s">
        <v>151</v>
      </c>
    </row>
    <row r="46" customFormat="false" ht="22.35" hidden="false" customHeight="false" outlineLevel="0" collapsed="false">
      <c r="A46" s="3" t="s">
        <v>152</v>
      </c>
      <c r="B46" s="17" t="n">
        <f aca="false">Assumptions!B38</f>
        <v>15</v>
      </c>
      <c r="C46" s="17" t="n">
        <f aca="false">Assumptions!C38</f>
        <v>25</v>
      </c>
      <c r="D46" s="17" t="n">
        <f aca="false">Assumptions!D38</f>
        <v>40</v>
      </c>
      <c r="E46" s="17" t="n">
        <f aca="false">Assumptions!E38</f>
        <v>50</v>
      </c>
      <c r="F46" s="17" t="n">
        <f aca="false">Assumptions!F38</f>
        <v>50</v>
      </c>
      <c r="H46" s="5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"/>
    <col collapsed="false" customWidth="true" hidden="false" outlineLevel="0" max="6" min="6" style="0" width="66"/>
  </cols>
  <sheetData>
    <row r="1" customFormat="false" ht="15" hidden="false" customHeight="false" outlineLevel="0" collapsed="false">
      <c r="A1" s="1" t="s">
        <v>154</v>
      </c>
    </row>
    <row r="3" customFormat="false" ht="15" hidden="false" customHeight="false" outlineLevel="0" collapsed="false">
      <c r="B3" s="2" t="s">
        <v>155</v>
      </c>
      <c r="C3" s="2" t="s">
        <v>156</v>
      </c>
      <c r="D3" s="2" t="s">
        <v>157</v>
      </c>
      <c r="F3" s="2" t="s">
        <v>89</v>
      </c>
    </row>
    <row r="4" customFormat="false" ht="22.35" hidden="false" customHeight="false" outlineLevel="0" collapsed="false">
      <c r="A4" s="3" t="s">
        <v>158</v>
      </c>
      <c r="B4" s="20" t="n">
        <v>0.5</v>
      </c>
      <c r="C4" s="20" t="n">
        <v>1</v>
      </c>
      <c r="D4" s="20" t="n">
        <v>1.6</v>
      </c>
      <c r="F4" s="5" t="s">
        <v>159</v>
      </c>
    </row>
    <row r="5" customFormat="false" ht="15" hidden="false" customHeight="false" outlineLevel="0" collapsed="false">
      <c r="A5" s="3" t="s">
        <v>160</v>
      </c>
      <c r="B5" s="20" t="n">
        <v>0.95</v>
      </c>
      <c r="C5" s="20" t="n">
        <v>1</v>
      </c>
      <c r="D5" s="20" t="n">
        <v>1.05</v>
      </c>
      <c r="F5" s="5" t="s">
        <v>161</v>
      </c>
    </row>
    <row r="6" customFormat="false" ht="22.35" hidden="false" customHeight="false" outlineLevel="0" collapsed="false">
      <c r="A6" s="3" t="s">
        <v>162</v>
      </c>
      <c r="B6" s="9" t="n">
        <v>-0.04</v>
      </c>
      <c r="C6" s="9" t="n">
        <v>0</v>
      </c>
      <c r="D6" s="9" t="n">
        <v>0.02</v>
      </c>
      <c r="F6" s="5" t="s">
        <v>163</v>
      </c>
    </row>
    <row r="7" customFormat="false" ht="15" hidden="false" customHeight="false" outlineLevel="0" collapsed="false">
      <c r="A7" s="3" t="s">
        <v>164</v>
      </c>
      <c r="B7" s="9" t="n">
        <v>0.4</v>
      </c>
      <c r="F7" s="5" t="s">
        <v>165</v>
      </c>
    </row>
    <row r="9" customFormat="false" ht="15" hidden="false" customHeight="false" outlineLevel="0" collapsed="false">
      <c r="A9" s="3" t="s">
        <v>166</v>
      </c>
      <c r="B9" s="17" t="n">
        <f aca="false">Model_5yr!$F$9*B4</f>
        <v>3000</v>
      </c>
      <c r="C9" s="17" t="n">
        <f aca="false">Model_5yr!$F$9*C4</f>
        <v>6000</v>
      </c>
      <c r="D9" s="17" t="n">
        <f aca="false">Model_5yr!$F$9*D4</f>
        <v>9600</v>
      </c>
    </row>
    <row r="10" customFormat="false" ht="15" hidden="false" customHeight="false" outlineLevel="0" collapsed="false">
      <c r="A10" s="11" t="s">
        <v>167</v>
      </c>
      <c r="B10" s="18" t="n">
        <f aca="false">Model_5yr!$F$14*B4*B5</f>
        <v>4571400</v>
      </c>
      <c r="C10" s="18" t="n">
        <f aca="false">Model_5yr!$F$14*C4*C5</f>
        <v>9624000</v>
      </c>
      <c r="D10" s="18" t="n">
        <f aca="false">Model_5yr!$F$14*D4*D5</f>
        <v>16168320</v>
      </c>
    </row>
    <row r="11" customFormat="false" ht="15" hidden="false" customHeight="false" outlineLevel="0" collapsed="false">
      <c r="A11" s="3" t="s">
        <v>168</v>
      </c>
      <c r="B11" s="13" t="n">
        <f aca="false">Model_5yr!$F$16*B4*B5</f>
        <v>3478425</v>
      </c>
      <c r="C11" s="13" t="n">
        <f aca="false">Model_5yr!$F$16*C4*C5</f>
        <v>7323000</v>
      </c>
      <c r="D11" s="13" t="n">
        <f aca="false">Model_5yr!$F$16*D4*D5</f>
        <v>12302640</v>
      </c>
    </row>
    <row r="12" customFormat="false" ht="15" hidden="false" customHeight="false" outlineLevel="0" collapsed="false">
      <c r="A12" s="3" t="s">
        <v>169</v>
      </c>
      <c r="B12" s="14" t="n">
        <f aca="false">Model_5yr!$F$23+B6</f>
        <v>0.655641130684146</v>
      </c>
      <c r="C12" s="14" t="n">
        <f aca="false">Model_5yr!$F$23+C6</f>
        <v>0.695641130684146</v>
      </c>
      <c r="D12" s="14" t="n">
        <f aca="false">Model_5yr!$F$23+D6</f>
        <v>0.715641130684146</v>
      </c>
    </row>
    <row r="13" customFormat="false" ht="15" hidden="false" customHeight="false" outlineLevel="0" collapsed="false">
      <c r="A13" s="3" t="s">
        <v>170</v>
      </c>
      <c r="B13" s="13" t="n">
        <f aca="false">B11*B12</f>
        <v>2280598.5</v>
      </c>
      <c r="C13" s="13" t="n">
        <f aca="false">C11*C12</f>
        <v>5094180</v>
      </c>
      <c r="D13" s="13" t="n">
        <f aca="false">D11*D12</f>
        <v>8804275.2</v>
      </c>
    </row>
    <row r="14" customFormat="false" ht="15" hidden="false" customHeight="false" outlineLevel="0" collapsed="false">
      <c r="A14" s="3" t="s">
        <v>171</v>
      </c>
      <c r="B14" s="13" t="n">
        <f aca="false">Model_5yr!$F$40*($B$7+(1-$B$7)*B4)</f>
        <v>2370567.5</v>
      </c>
      <c r="C14" s="13" t="n">
        <f aca="false">Model_5yr!$F$40*($B$7+(1-$B$7)*C4)</f>
        <v>3386525</v>
      </c>
      <c r="D14" s="13" t="n">
        <f aca="false">Model_5yr!$F$40*($B$7+(1-$B$7)*D4)</f>
        <v>4605674</v>
      </c>
    </row>
    <row r="15" customFormat="false" ht="15" hidden="false" customHeight="false" outlineLevel="0" collapsed="false">
      <c r="A15" s="11" t="s">
        <v>172</v>
      </c>
      <c r="B15" s="18" t="n">
        <f aca="false">B13-B14</f>
        <v>-89969.0000000005</v>
      </c>
      <c r="C15" s="18" t="n">
        <f aca="false">C13-C14</f>
        <v>1707655</v>
      </c>
      <c r="D15" s="18" t="n">
        <f aca="false">D13-D14</f>
        <v>4198601.2</v>
      </c>
    </row>
    <row r="16" customFormat="false" ht="15" hidden="false" customHeight="false" outlineLevel="0" collapsed="false">
      <c r="A16" s="3" t="s">
        <v>173</v>
      </c>
      <c r="B16" s="14" t="n">
        <f aca="false">B15/B11</f>
        <v>-0.0258648670015885</v>
      </c>
      <c r="C16" s="14" t="n">
        <f aca="false">C15/C11</f>
        <v>0.23319063225454</v>
      </c>
      <c r="D16" s="14" t="n">
        <f aca="false">D15/D11</f>
        <v>0.341276441479227</v>
      </c>
    </row>
    <row r="18" customFormat="false" ht="15" hidden="false" customHeight="true" outlineLevel="0" collapsed="false">
      <c r="A18" s="21" t="s">
        <v>174</v>
      </c>
      <c r="B18" s="21"/>
      <c r="C18" s="21"/>
      <c r="D18" s="21"/>
    </row>
    <row r="19" customFormat="false" ht="15" hidden="false" customHeight="false" outlineLevel="0" collapsed="false">
      <c r="A19" s="21"/>
      <c r="B19" s="21"/>
      <c r="C19" s="21"/>
      <c r="D19" s="21"/>
    </row>
    <row r="20" customFormat="false" ht="15" hidden="false" customHeight="false" outlineLevel="0" collapsed="false">
      <c r="A20" s="21"/>
      <c r="B20" s="21"/>
      <c r="C20" s="21"/>
      <c r="D20" s="21"/>
    </row>
  </sheetData>
  <mergeCells count="1">
    <mergeCell ref="A18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2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1" t="s">
        <v>175</v>
      </c>
    </row>
    <row r="3" customFormat="false" ht="15" hidden="false" customHeight="false" outlineLevel="0" collapsed="false">
      <c r="A3" s="2" t="s">
        <v>176</v>
      </c>
      <c r="F3" s="2" t="s">
        <v>177</v>
      </c>
    </row>
    <row r="4" customFormat="false" ht="15" hidden="false" customHeight="false" outlineLevel="0" collapsed="false">
      <c r="A4" s="3" t="s">
        <v>178</v>
      </c>
      <c r="B4" s="6" t="n">
        <v>300000</v>
      </c>
      <c r="F4" s="5" t="s">
        <v>179</v>
      </c>
    </row>
    <row r="5" customFormat="false" ht="15" hidden="false" customHeight="false" outlineLevel="0" collapsed="false">
      <c r="A5" s="3" t="s">
        <v>180</v>
      </c>
      <c r="B5" s="6" t="n">
        <v>125</v>
      </c>
      <c r="F5" s="5" t="s">
        <v>181</v>
      </c>
    </row>
    <row r="6" customFormat="false" ht="22.35" hidden="false" customHeight="false" outlineLevel="0" collapsed="false">
      <c r="A6" s="3" t="s">
        <v>182</v>
      </c>
      <c r="B6" s="22" t="n">
        <v>4.5</v>
      </c>
      <c r="F6" s="5" t="s">
        <v>183</v>
      </c>
    </row>
    <row r="7" customFormat="false" ht="15" hidden="false" customHeight="false" outlineLevel="0" collapsed="false">
      <c r="A7" s="3" t="s">
        <v>184</v>
      </c>
      <c r="B7" s="8" t="n">
        <v>0.3333</v>
      </c>
      <c r="F7" s="5" t="s">
        <v>185</v>
      </c>
    </row>
    <row r="8" customFormat="false" ht="15" hidden="false" customHeight="false" outlineLevel="0" collapsed="false">
      <c r="A8" s="3" t="s">
        <v>186</v>
      </c>
      <c r="B8" s="7" t="n">
        <v>48</v>
      </c>
    </row>
    <row r="9" customFormat="false" ht="22.35" hidden="false" customHeight="false" outlineLevel="0" collapsed="false">
      <c r="A9" s="3" t="s">
        <v>187</v>
      </c>
      <c r="B9" s="8" t="n">
        <v>0.02</v>
      </c>
      <c r="F9" s="5" t="s">
        <v>188</v>
      </c>
    </row>
    <row r="10" customFormat="false" ht="22.35" hidden="false" customHeight="false" outlineLevel="0" collapsed="false">
      <c r="A10" s="3" t="s">
        <v>189</v>
      </c>
      <c r="B10" s="7" t="n">
        <v>30</v>
      </c>
      <c r="F10" s="5" t="s">
        <v>190</v>
      </c>
    </row>
    <row r="11" customFormat="false" ht="15" hidden="false" customHeight="false" outlineLevel="0" collapsed="false">
      <c r="A11" s="3" t="s">
        <v>191</v>
      </c>
      <c r="B11" s="8" t="n">
        <v>0.12</v>
      </c>
      <c r="F11" s="5" t="s">
        <v>192</v>
      </c>
    </row>
    <row r="13" customFormat="false" ht="15" hidden="false" customHeight="false" outlineLevel="0" collapsed="false">
      <c r="A13" s="2" t="s">
        <v>193</v>
      </c>
    </row>
    <row r="14" customFormat="false" ht="15" hidden="false" customHeight="false" outlineLevel="0" collapsed="false">
      <c r="A14" s="3" t="s">
        <v>194</v>
      </c>
      <c r="B14" s="15" t="n">
        <f aca="false">B6*B7*B8</f>
        <v>71.9928</v>
      </c>
    </row>
    <row r="15" customFormat="false" ht="15" hidden="false" customHeight="false" outlineLevel="0" collapsed="false">
      <c r="A15" s="3" t="s">
        <v>195</v>
      </c>
      <c r="B15" s="13" t="n">
        <f aca="false">B14*B5</f>
        <v>8999.1</v>
      </c>
      <c r="F15" s="5" t="s">
        <v>196</v>
      </c>
    </row>
    <row r="16" customFormat="false" ht="15" hidden="false" customHeight="false" outlineLevel="0" collapsed="false">
      <c r="A16" s="3" t="s">
        <v>197</v>
      </c>
      <c r="B16" s="15" t="n">
        <f aca="false">B6*(1-B7)*B8</f>
        <v>144.0072</v>
      </c>
      <c r="F16" s="5" t="s">
        <v>198</v>
      </c>
    </row>
    <row r="17" customFormat="false" ht="15" hidden="false" customHeight="false" outlineLevel="0" collapsed="false">
      <c r="A17" s="3" t="s">
        <v>199</v>
      </c>
      <c r="B17" s="13" t="n">
        <f aca="false">B4*B9</f>
        <v>6000</v>
      </c>
      <c r="F17" s="5" t="s">
        <v>200</v>
      </c>
    </row>
    <row r="18" customFormat="false" ht="15" hidden="false" customHeight="false" outlineLevel="0" collapsed="false">
      <c r="A18" s="3" t="s">
        <v>201</v>
      </c>
      <c r="B18" s="13" t="n">
        <f aca="false">B4*B10/365*B11</f>
        <v>2958.90410958904</v>
      </c>
      <c r="F18" s="5" t="s">
        <v>202</v>
      </c>
    </row>
    <row r="19" customFormat="false" ht="15" hidden="false" customHeight="false" outlineLevel="0" collapsed="false">
      <c r="A19" s="11" t="s">
        <v>203</v>
      </c>
      <c r="B19" s="18" t="n">
        <f aca="false">B15+B17+B18</f>
        <v>17958.004109589</v>
      </c>
      <c r="F19" s="5" t="s">
        <v>204</v>
      </c>
    </row>
    <row r="21" customFormat="false" ht="15" hidden="false" customHeight="false" outlineLevel="0" collapsed="false">
      <c r="A21" s="2" t="s">
        <v>205</v>
      </c>
      <c r="B21" s="2" t="s">
        <v>85</v>
      </c>
      <c r="C21" s="2" t="s">
        <v>86</v>
      </c>
      <c r="D21" s="2" t="s">
        <v>87</v>
      </c>
    </row>
    <row r="22" customFormat="false" ht="22.35" hidden="false" customHeight="false" outlineLevel="0" collapsed="false">
      <c r="A22" s="3" t="s">
        <v>206</v>
      </c>
      <c r="B22" s="13" t="n">
        <f aca="false">Assumptions!$B$4*12</f>
        <v>948</v>
      </c>
      <c r="C22" s="13" t="n">
        <f aca="false">Assumptions!$B$5*12</f>
        <v>2028</v>
      </c>
      <c r="D22" s="13" t="n">
        <f aca="false">Assumptions!$B$6*12</f>
        <v>3588</v>
      </c>
      <c r="F22" s="5" t="s">
        <v>207</v>
      </c>
    </row>
    <row r="23" customFormat="false" ht="15" hidden="false" customHeight="false" outlineLevel="0" collapsed="false">
      <c r="A23" s="3" t="s">
        <v>208</v>
      </c>
      <c r="B23" s="16" t="n">
        <f aca="false">$B$19/B22</f>
        <v>18.9430423096931</v>
      </c>
      <c r="C23" s="16" t="n">
        <f aca="false">$B$19/C22</f>
        <v>8.85503161222339</v>
      </c>
      <c r="D23" s="16" t="n">
        <f aca="false">$B$19/D22</f>
        <v>5.00501786777844</v>
      </c>
    </row>
    <row r="24" customFormat="false" ht="15" hidden="false" customHeight="false" outlineLevel="0" collapsed="false">
      <c r="A24" s="3" t="s">
        <v>209</v>
      </c>
      <c r="B24" s="15" t="n">
        <f aca="false">B22/($B$19/12)</f>
        <v>0.633477970635142</v>
      </c>
      <c r="C24" s="15" t="n">
        <f aca="false">C22/($B$19/12)</f>
        <v>1.35516173464986</v>
      </c>
      <c r="D24" s="15" t="n">
        <f aca="false">D22/($B$19/12)</f>
        <v>2.39759383822668</v>
      </c>
    </row>
    <row r="26" customFormat="false" ht="15" hidden="false" customHeight="true" outlineLevel="0" collapsed="false">
      <c r="A26" s="21" t="s">
        <v>210</v>
      </c>
      <c r="B26" s="21"/>
      <c r="C26" s="21"/>
      <c r="D26" s="21"/>
    </row>
    <row r="27" customFormat="false" ht="15" hidden="false" customHeight="false" outlineLevel="0" collapsed="false">
      <c r="A27" s="21"/>
      <c r="B27" s="21"/>
      <c r="C27" s="21"/>
      <c r="D27" s="21"/>
    </row>
    <row r="28" customFormat="false" ht="15" hidden="false" customHeight="false" outlineLevel="0" collapsed="false">
      <c r="A28" s="21"/>
      <c r="B28" s="21"/>
      <c r="C28" s="21"/>
      <c r="D28" s="21"/>
    </row>
    <row r="29" customFormat="false" ht="15" hidden="false" customHeight="false" outlineLevel="0" collapsed="false">
      <c r="A29" s="21"/>
      <c r="B29" s="21"/>
      <c r="C29" s="21"/>
      <c r="D29" s="21"/>
    </row>
    <row r="30" customFormat="false" ht="15" hidden="false" customHeight="false" outlineLevel="0" collapsed="false">
      <c r="A30" s="21"/>
      <c r="B30" s="21"/>
      <c r="C30" s="21"/>
      <c r="D30" s="21"/>
    </row>
  </sheetData>
  <mergeCells count="1">
    <mergeCell ref="A26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LibreOffice/25.8.7.3$MacOSX_X86_64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2026-07-02T08:45:49Z</dcterms:created>
  <dc:creator>openpyxl</dc:creator>
  <dc:description/>
  <dc:language>en-US</dc:language>
  <cp:lastModifiedBy/>
  <dcterms:modified xsi:type="dcterms:W3CDTF">2026-07-02T08:45:49Z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